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S:\tools.git\workbooks\"/>
    </mc:Choice>
  </mc:AlternateContent>
  <bookViews>
    <workbookView xWindow="0" yWindow="0" windowWidth="26790" windowHeight="11955" tabRatio="848" firstSheet="1" activeTab="6"/>
  </bookViews>
  <sheets>
    <sheet name="Leepfrog Read Me" sheetId="16" r:id="rId1"/>
    <sheet name="Questions" sheetId="8" r:id="rId2"/>
    <sheet name="Log" sheetId="20" state="veryHidden" r:id="rId3"/>
    <sheet name="CAT Instructions" sheetId="14" r:id="rId4"/>
    <sheet name="Catalog Page Workflow" sheetId="13" r:id="rId5"/>
    <sheet name="CIM Instructions" sheetId="19" r:id="rId6"/>
    <sheet name="CIM xxxxx Workflow Spec" sheetId="18" r:id="rId7"/>
    <sheet name="CIM xxxxx Workflow Feedback" sheetId="5" r:id="rId8"/>
    <sheet name="Roles" sheetId="6" r:id="rId9"/>
    <sheet name="User Accounts" sheetId="7" r:id="rId10"/>
  </sheets>
  <functionGroups builtInGroupCount="18"/>
  <definedNames>
    <definedName name="modifiers" localSheetId="7">'CIM xxxxx Workflow Feedback'!#REF!</definedName>
    <definedName name="modifiers">#REF!</definedName>
    <definedName name="_xlnm.Print_Area" localSheetId="7">'CIM xxxxx Workflow Feedback'!$A$40:$E$74</definedName>
    <definedName name="_xlnm.Print_Titles" localSheetId="4">'Catalog Page Workflow'!$1:$1</definedName>
    <definedName name="_xlnm.Print_Titles" localSheetId="7">'CIM xxxxx Workflow Feedback'!$55:$55</definedName>
    <definedName name="_xlnm.Print_Titles" localSheetId="8">Roles!$40:$40</definedName>
    <definedName name="_xlnm.Print_Titles" localSheetId="9">'User Accounts'!$21:$21</definedName>
    <definedName name="stdConditionals" localSheetId="7">'CIM xxxxx Workflow Feedback'!#REF!</definedName>
    <definedName name="stdConditional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 i="18" l="1"/>
  <c r="A51" i="19"/>
  <c r="A35" i="5" l="1"/>
  <c r="A34" i="5"/>
  <c r="A36" i="5" s="1"/>
  <c r="A37" i="5" s="1"/>
  <c r="A38" i="5" s="1"/>
  <c r="A42" i="5"/>
  <c r="A44" i="5"/>
  <c r="A45" i="5" s="1"/>
  <c r="A46" i="5" s="1"/>
  <c r="A47" i="5" s="1"/>
  <c r="A48" i="5" s="1"/>
  <c r="A49" i="5" s="1"/>
  <c r="A50" i="5" s="1"/>
  <c r="A51" i="5" s="1"/>
  <c r="A52" i="5" s="1"/>
  <c r="A53" i="5" s="1"/>
  <c r="A43" i="5"/>
  <c r="A64" i="18" l="1"/>
  <c r="A63" i="18"/>
  <c r="A62" i="18"/>
  <c r="A61" i="18"/>
  <c r="A60" i="18"/>
  <c r="A59" i="18"/>
  <c r="A58" i="18"/>
  <c r="A57" i="18"/>
  <c r="A56" i="18"/>
  <c r="A55" i="18"/>
  <c r="A54" i="18"/>
  <c r="A53" i="18"/>
  <c r="A48" i="18"/>
  <c r="A47" i="18"/>
  <c r="A46" i="18"/>
  <c r="A45" i="18"/>
  <c r="A44" i="18"/>
  <c r="A43" i="18"/>
  <c r="A42" i="18"/>
  <c r="A41" i="18"/>
  <c r="A40" i="18"/>
  <c r="A39" i="18"/>
  <c r="A38" i="18"/>
  <c r="A37" i="18"/>
  <c r="A32" i="18"/>
  <c r="A31" i="18"/>
  <c r="A30" i="18"/>
  <c r="A29" i="18"/>
  <c r="A28" i="18"/>
  <c r="A27" i="18"/>
  <c r="A26" i="18"/>
  <c r="A25" i="18"/>
  <c r="A24" i="18"/>
  <c r="A23" i="18"/>
  <c r="A22" i="18"/>
  <c r="A21" i="18"/>
  <c r="A16" i="18"/>
  <c r="A15" i="18"/>
  <c r="A14" i="18"/>
  <c r="A13" i="18"/>
  <c r="A12" i="18"/>
  <c r="A11" i="18"/>
  <c r="A10" i="18"/>
  <c r="A9" i="18"/>
  <c r="A8" i="18"/>
  <c r="A6" i="18"/>
  <c r="A7" i="18" s="1"/>
  <c r="A58" i="5" l="1"/>
  <c r="A59" i="5"/>
  <c r="A60" i="5"/>
  <c r="A61" i="5"/>
  <c r="A62" i="5"/>
  <c r="A63" i="5"/>
  <c r="A64" i="5"/>
  <c r="A65" i="5"/>
  <c r="A66" i="5"/>
  <c r="A67" i="5"/>
  <c r="A68" i="5"/>
  <c r="A69" i="5"/>
  <c r="A70" i="5"/>
  <c r="A71" i="5"/>
  <c r="A72" i="5"/>
  <c r="A73" i="5"/>
  <c r="A74" i="5"/>
  <c r="A57" i="5"/>
  <c r="A16" i="8"/>
  <c r="A18" i="8"/>
  <c r="A20" i="8"/>
  <c r="A22" i="8"/>
  <c r="A24" i="8"/>
  <c r="A4" i="8"/>
  <c r="A6" i="8"/>
  <c r="A8" i="8"/>
  <c r="A10" i="8"/>
  <c r="A12" i="8"/>
</calcChain>
</file>

<file path=xl/sharedStrings.xml><?xml version="1.0" encoding="utf-8"?>
<sst xmlns="http://schemas.openxmlformats.org/spreadsheetml/2006/main" count="510" uniqueCount="350">
  <si>
    <t>Modifiers</t>
  </si>
  <si>
    <t>Dept Chair</t>
  </si>
  <si>
    <t>optional</t>
  </si>
  <si>
    <t>Comments / Explanation</t>
  </si>
  <si>
    <t>isNew</t>
  </si>
  <si>
    <t>isEdit</t>
  </si>
  <si>
    <t>isDelete</t>
  </si>
  <si>
    <t>isGraduate</t>
  </si>
  <si>
    <t>isUndergraduate</t>
  </si>
  <si>
    <t>isGenEd</t>
  </si>
  <si>
    <t>fyi</t>
  </si>
  <si>
    <t>fyiall</t>
  </si>
  <si>
    <t>Workflow Step</t>
  </si>
  <si>
    <t>Notes:</t>
  </si>
  <si>
    <t>Instructions -- Please read before completing, if you have questions please contact your Client Services Manager</t>
  </si>
  <si>
    <t xml:space="preserve">   1 - Please provide information for only those roles that will actually be active in the workflow.</t>
  </si>
  <si>
    <t xml:space="preserve">        role name on the spreadsheet line.</t>
  </si>
  <si>
    <t xml:space="preserve">       result in an non-functional role.</t>
  </si>
  <si>
    <t xml:space="preserve">         then please do not specify all here.</t>
  </si>
  <si>
    <t xml:space="preserve">         used for the users in the role.  Please do not specify if you are NOT overriding the normal user email addresses.</t>
  </si>
  <si>
    <t xml:space="preserve">   1) Data for college, department, and subject code values is pulled from the data provided in the CIM 'codes' table.</t>
  </si>
  <si>
    <t xml:space="preserve">   2) If any particular role is not going to be used (e.g. the department does not have a Chair),</t>
  </si>
  <si>
    <t xml:space="preserve">      then please remove that line from this spreadsheet.</t>
  </si>
  <si>
    <t xml:space="preserve">   5) The 'Role Name' and 'Department, College, or Subject' data columns are locked, again </t>
  </si>
  <si>
    <t xml:space="preserve">        if a role name is not needed please use the strikethrough font modifier to so indicate.</t>
  </si>
  <si>
    <t>Example Data</t>
  </si>
  <si>
    <t>Role Name</t>
  </si>
  <si>
    <r>
      <t xml:space="preserve">Role Members </t>
    </r>
    <r>
      <rPr>
        <sz val="12"/>
        <color rgb="FFFF0000"/>
        <rFont val="Calibri"/>
        <family val="2"/>
        <scheme val="minor"/>
      </rPr>
      <t/>
    </r>
  </si>
  <si>
    <r>
      <t>Email Override</t>
    </r>
    <r>
      <rPr>
        <sz val="12"/>
        <color rgb="FFFF0000"/>
        <rFont val="Calibri"/>
        <family val="2"/>
        <scheme val="minor"/>
      </rPr>
      <t/>
    </r>
  </si>
  <si>
    <t>weaskeyr</t>
  </si>
  <si>
    <t>ENGL Chair</t>
  </si>
  <si>
    <t>hermioneg,harryp</t>
  </si>
  <si>
    <t>all</t>
  </si>
  <si>
    <t>LAS Dean</t>
  </si>
  <si>
    <t>mcgonagllm</t>
  </si>
  <si>
    <t>Provost</t>
  </si>
  <si>
    <t>dumbledorea</t>
  </si>
  <si>
    <t>*START*</t>
  </si>
  <si>
    <t>Login UserID</t>
  </si>
  <si>
    <t>First Name</t>
  </si>
  <si>
    <t>Last Name</t>
  </si>
  <si>
    <t>Email Address</t>
  </si>
  <si>
    <t>harryp</t>
  </si>
  <si>
    <t>Harry</t>
  </si>
  <si>
    <t>Potter</t>
  </si>
  <si>
    <t>harryp@hogwarts.com</t>
  </si>
  <si>
    <t>hermioneg</t>
  </si>
  <si>
    <t>Hermione</t>
  </si>
  <si>
    <t>Granger</t>
  </si>
  <si>
    <t>hermioneg@hogwarts.com</t>
  </si>
  <si>
    <t>weasleyr</t>
  </si>
  <si>
    <t>Ronald</t>
  </si>
  <si>
    <t>Weasley</t>
  </si>
  <si>
    <t>weasleyr@hogwarts.com</t>
  </si>
  <si>
    <t>Minerva</t>
  </si>
  <si>
    <t>McGolagall</t>
  </si>
  <si>
    <t>mcgonagllm@hogwarts.com</t>
  </si>
  <si>
    <t>Albus</t>
  </si>
  <si>
    <t>Dumbledore</t>
  </si>
  <si>
    <t>dumbledorea@hogwarts.com</t>
  </si>
  <si>
    <t>Course Workflow</t>
  </si>
  <si>
    <t>Program Workflow</t>
  </si>
  <si>
    <t xml:space="preserve">   1 - Please provide user account information that you have used in the roles on the previous  workflow sheets</t>
  </si>
  <si>
    <t>Instructions -- Please read before completing, if you have questions please contact your Client Services Manager.</t>
  </si>
  <si>
    <t xml:space="preserve">        Userids are case sensitive and must match the case of the userid that the user logs into your system, </t>
  </si>
  <si>
    <t xml:space="preserve">        the userids used in the roles must match the userids listed here.</t>
  </si>
  <si>
    <t xml:space="preserve">   2 - You only need to include users that have not already been provisioned in CourseLeaf.</t>
  </si>
  <si>
    <r>
      <t xml:space="preserve">      </t>
    </r>
    <r>
      <rPr>
        <i/>
        <sz val="11"/>
        <color theme="1"/>
        <rFont val="Calibri"/>
        <family val="2"/>
        <scheme val="minor"/>
      </rPr>
      <t>'Subj'</t>
    </r>
    <r>
      <rPr>
        <sz val="11"/>
        <color theme="1"/>
        <rFont val="Calibri"/>
        <family val="2"/>
        <scheme val="minor"/>
      </rPr>
      <t xml:space="preserve">  --  The subject code from the proposal.  Only valid for Course workflows</t>
    </r>
  </si>
  <si>
    <r>
      <t xml:space="preserve">      </t>
    </r>
    <r>
      <rPr>
        <i/>
        <sz val="11"/>
        <color theme="1"/>
        <rFont val="Calibri"/>
        <family val="2"/>
        <scheme val="minor"/>
      </rPr>
      <t>'Dept'</t>
    </r>
    <r>
      <rPr>
        <sz val="11"/>
        <color theme="1"/>
        <rFont val="Calibri"/>
        <family val="2"/>
        <scheme val="minor"/>
      </rPr>
      <t xml:space="preserve">  --  The department code from the proposal.</t>
    </r>
  </si>
  <si>
    <r>
      <t xml:space="preserve">      </t>
    </r>
    <r>
      <rPr>
        <i/>
        <sz val="11"/>
        <color theme="1"/>
        <rFont val="Calibri"/>
        <family val="2"/>
        <scheme val="minor"/>
      </rPr>
      <t>'Col'</t>
    </r>
    <r>
      <rPr>
        <sz val="11"/>
        <color theme="1"/>
        <rFont val="Calibri"/>
        <family val="2"/>
        <scheme val="minor"/>
      </rPr>
      <t xml:space="preserve">  --  The college code from the proposal.</t>
    </r>
  </si>
  <si>
    <t>please separate each conditional with a semicolon (;).</t>
  </si>
  <si>
    <t>- Local custom conditionals that are specific to your institution.  This is a free form field and may be entered as a</t>
  </si>
  <si>
    <t>is/if' clause (e.g. isOnline) or you can just write a description of the conditional.  If multiple conditions apply then</t>
  </si>
  <si>
    <t>- All conditionals must be met for the step to be include in the resolved workflow.</t>
  </si>
  <si>
    <t xml:space="preserve">- The step name.  Step names can be either static or dynamic, static names are just that static, they do not change based on the </t>
  </si>
  <si>
    <t>Col Dean</t>
  </si>
  <si>
    <t>Graduate Curriculum Committee</t>
  </si>
  <si>
    <t>Undergraduate Curriculum Committee</t>
  </si>
  <si>
    <t>Undergraduate Curriculum CommitteeChair</t>
  </si>
  <si>
    <t>Graduate Curriculum CommitteeChair</t>
  </si>
  <si>
    <t>Registrar</t>
  </si>
  <si>
    <t>Graduate Curriculum Committee Chair</t>
  </si>
  <si>
    <t>ssnape</t>
  </si>
  <si>
    <t>ssname</t>
  </si>
  <si>
    <t>Severus</t>
  </si>
  <si>
    <t>Snape</t>
  </si>
  <si>
    <t>ssname@hogwarts.com</t>
  </si>
  <si>
    <t xml:space="preserve">Conditional / Modifier Definitions: </t>
  </si>
  <si>
    <t>Condition</t>
  </si>
  <si>
    <t>Description</t>
  </si>
  <si>
    <t>Proposal is for a new course/program</t>
  </si>
  <si>
    <t>Proposal is changing an existing course/program</t>
  </si>
  <si>
    <t>Proposal is deleting an existing course/program</t>
  </si>
  <si>
    <t xml:space="preserve">Proposal is for an Undergraduate course/program </t>
  </si>
  <si>
    <t xml:space="preserve">Proposal is for an Graduate course/program </t>
  </si>
  <si>
    <t>Proposal is for an General education course</t>
  </si>
  <si>
    <t>Step will only be include in the workflow if the resolved role is defined in Roles Management</t>
  </si>
  <si>
    <t>Step Conditional(s)</t>
  </si>
  <si>
    <t>fyiall optional</t>
  </si>
  <si>
    <t>Step is an notification step, only the first member of the resolved role will be notified</t>
  </si>
  <si>
    <t>Step is an notification step, all members resolved role will be notified</t>
  </si>
  <si>
    <t>This appears as 'If Exists' on the Workflow Management screens.</t>
  </si>
  <si>
    <t>UIN (optional)</t>
  </si>
  <si>
    <t>User Accounts</t>
  </si>
  <si>
    <t>Conditional(s)</t>
  </si>
  <si>
    <t>Modifier(s)</t>
  </si>
  <si>
    <t>Workflow:</t>
  </si>
  <si>
    <t>Page Title</t>
  </si>
  <si>
    <t>Page Path (URL)</t>
  </si>
  <si>
    <t>Graduate Dean,Registrar,Provost,Catalog Editor</t>
  </si>
  <si>
    <t>Graduate Folks</t>
  </si>
  <si>
    <t>Graduate College</t>
  </si>
  <si>
    <t>/graduate/introduction</t>
  </si>
  <si>
    <t>ENGL Chair,LAS Dean,Registrar,Catalog Editor</t>
  </si>
  <si>
    <t>English Department</t>
  </si>
  <si>
    <t>/undergraduate/english</t>
  </si>
  <si>
    <t>Undergraduate Dean,Registrar,Provost,Catalog Editor</t>
  </si>
  <si>
    <t>Undergraduate Folks</t>
  </si>
  <si>
    <t>Undergraduate College</t>
  </si>
  <si>
    <t>/undergraduate/introduction</t>
  </si>
  <si>
    <t>Registrar,Provost,Catalog Editor</t>
  </si>
  <si>
    <t>Registrar,Provost</t>
  </si>
  <si>
    <t>Catalog Home</t>
  </si>
  <si>
    <t>/</t>
  </si>
  <si>
    <t>Page Workflow</t>
  </si>
  <si>
    <t xml:space="preserve">Page Owner </t>
  </si>
  <si>
    <t>Roles</t>
  </si>
  <si>
    <t xml:space="preserve">        'Dept xxxx' or 'Col xxxx', e.g. 'BIOL Chair' or 'LAS Chair'.  Please ask your Client Services Manager for additional information.</t>
  </si>
  <si>
    <t>*** Please do NOT change column headings, please do NOT add any columns, both will prevent the data from being loaded ***</t>
  </si>
  <si>
    <t>Catalog Page Workflow</t>
  </si>
  <si>
    <t>Doc Ver: 1.4</t>
  </si>
  <si>
    <r>
      <t>Please complete the</t>
    </r>
    <r>
      <rPr>
        <b/>
        <sz val="12"/>
        <color theme="1"/>
        <rFont val="Calibri"/>
        <family val="2"/>
        <scheme val="minor"/>
      </rPr>
      <t xml:space="preserve"> </t>
    </r>
    <r>
      <rPr>
        <b/>
        <sz val="12"/>
        <color rgb="FF0000CC"/>
        <rFont val="Calibri"/>
        <family val="2"/>
        <scheme val="minor"/>
      </rPr>
      <t>Workflow Data</t>
    </r>
    <r>
      <rPr>
        <sz val="12"/>
        <color rgb="FF0000CC"/>
        <rFont val="Calibri"/>
        <family val="2"/>
        <scheme val="minor"/>
      </rPr>
      <t xml:space="preserve">, </t>
    </r>
    <r>
      <rPr>
        <b/>
        <sz val="12"/>
        <color rgb="FF0000CC"/>
        <rFont val="Calibri"/>
        <family val="2"/>
        <scheme val="minor"/>
      </rPr>
      <t>Roles Data, and UserIDInfo</t>
    </r>
    <r>
      <rPr>
        <sz val="12"/>
        <color theme="1"/>
        <rFont val="Calibri"/>
        <family val="2"/>
        <scheme val="minor"/>
      </rPr>
      <t xml:space="preserve"> tabs in this spreadsheet.
This completed spreadsheet provides Leepfrog the data needed to programmatically assign page owners and approvers to every page in your catalog and to programmatically add the necessary data for those page owners and approvers into CourseLeaf.</t>
    </r>
  </si>
  <si>
    <t>Workflow Data - Overview of Tab</t>
  </si>
  <si>
    <t>Background Notes and Examples</t>
  </si>
  <si>
    <t>(Please do not remove or rename the column headings.)</t>
  </si>
  <si>
    <r>
      <t xml:space="preserve">Column 1 - </t>
    </r>
    <r>
      <rPr>
        <b/>
        <sz val="11"/>
        <color theme="1"/>
        <rFont val="Calibri"/>
        <family val="2"/>
        <scheme val="minor"/>
      </rPr>
      <t>Page Path</t>
    </r>
    <r>
      <rPr>
        <sz val="11"/>
        <color theme="1"/>
        <rFont val="Calibri"/>
        <family val="2"/>
        <scheme val="minor"/>
      </rPr>
      <t xml:space="preserve"> is the URL of the catalog page. </t>
    </r>
    <r>
      <rPr>
        <i/>
        <sz val="11"/>
        <color theme="1"/>
        <rFont val="Calibri"/>
        <family val="2"/>
        <scheme val="minor"/>
      </rPr>
      <t>Leepfrog completes this column.</t>
    </r>
  </si>
  <si>
    <r>
      <t xml:space="preserve">Column 2 - </t>
    </r>
    <r>
      <rPr>
        <b/>
        <sz val="11"/>
        <color theme="1"/>
        <rFont val="Calibri"/>
        <family val="2"/>
        <scheme val="minor"/>
      </rPr>
      <t>Page Title</t>
    </r>
    <r>
      <rPr>
        <sz val="11"/>
        <color theme="1"/>
        <rFont val="Calibri"/>
        <family val="2"/>
        <scheme val="minor"/>
      </rPr>
      <t xml:space="preserve"> is the catalog page title as written in the Page Title field in the Set Up screen. </t>
    </r>
    <r>
      <rPr>
        <i/>
        <sz val="11"/>
        <color theme="1"/>
        <rFont val="Calibri"/>
        <family val="2"/>
        <scheme val="minor"/>
      </rPr>
      <t>Leepfrog completes this column.</t>
    </r>
  </si>
  <si>
    <r>
      <t xml:space="preserve">Column 3 - </t>
    </r>
    <r>
      <rPr>
        <b/>
        <sz val="11"/>
        <color theme="1"/>
        <rFont val="Calibri"/>
        <family val="2"/>
        <scheme val="minor"/>
      </rPr>
      <t>Page Owner</t>
    </r>
    <r>
      <rPr>
        <sz val="11"/>
        <color theme="1"/>
        <rFont val="Calibri"/>
        <family val="2"/>
        <scheme val="minor"/>
      </rPr>
      <t xml:space="preserve"> is where the userIDs/role names</t>
    </r>
    <r>
      <rPr>
        <vertAlign val="superscript"/>
        <sz val="11"/>
        <color theme="1"/>
        <rFont val="Calibri"/>
        <family val="2"/>
        <scheme val="minor"/>
      </rPr>
      <t>1</t>
    </r>
    <r>
      <rPr>
        <sz val="11"/>
        <color theme="1"/>
        <rFont val="Calibri"/>
        <family val="2"/>
        <scheme val="minor"/>
      </rPr>
      <t xml:space="preserve"> are entered for who "owns" the catalog page. In other words, who will be responsible for starting the catalog page in workflow.</t>
    </r>
  </si>
  <si>
    <r>
      <rPr>
        <b/>
        <i/>
        <sz val="11"/>
        <color theme="1"/>
        <rFont val="Calibri"/>
        <family val="2"/>
        <scheme val="minor"/>
      </rPr>
      <t>Note:</t>
    </r>
    <r>
      <rPr>
        <sz val="11"/>
        <color theme="1"/>
        <rFont val="Calibri"/>
        <family val="2"/>
        <scheme val="minor"/>
      </rPr>
      <t xml:space="preserve"> If more than one userID or role name is listed, separate each with a comma (no space after the comma).
</t>
    </r>
    <r>
      <rPr>
        <i/>
        <sz val="11"/>
        <color theme="1"/>
        <rFont val="Calibri"/>
        <family val="2"/>
        <scheme val="minor"/>
      </rPr>
      <t>Example:</t>
    </r>
    <r>
      <rPr>
        <sz val="11"/>
        <color theme="1"/>
        <rFont val="Calibri"/>
        <family val="2"/>
        <scheme val="minor"/>
      </rPr>
      <t xml:space="preserve">
CATeditor,jhanson</t>
    </r>
  </si>
  <si>
    <r>
      <t xml:space="preserve">Column 4 - </t>
    </r>
    <r>
      <rPr>
        <b/>
        <sz val="11"/>
        <color theme="1"/>
        <rFont val="Calibri"/>
        <family val="2"/>
        <scheme val="minor"/>
      </rPr>
      <t>Page Workflow</t>
    </r>
    <r>
      <rPr>
        <sz val="11"/>
        <color theme="1"/>
        <rFont val="Calibri"/>
        <family val="2"/>
        <scheme val="minor"/>
      </rPr>
      <t xml:space="preserve"> is where the userIDs or role names are listed in order of each person or each role who must edit and approve the catalog page before it is published. Include people/roles at the desired step in workflow who should only be notified of the catalog page updates, but have no editing permissions for that page.</t>
    </r>
  </si>
  <si>
    <r>
      <rPr>
        <b/>
        <i/>
        <sz val="11"/>
        <color theme="1"/>
        <rFont val="Calibri"/>
        <family val="2"/>
        <scheme val="minor"/>
      </rPr>
      <t xml:space="preserve">Note: </t>
    </r>
    <r>
      <rPr>
        <sz val="11"/>
        <color theme="1"/>
        <rFont val="Calibri"/>
        <family val="2"/>
        <scheme val="minor"/>
      </rPr>
      <t xml:space="preserve">Workflow is linear, and each person/role is one step in the workflow. The </t>
    </r>
    <r>
      <rPr>
        <b/>
        <sz val="11"/>
        <color theme="1"/>
        <rFont val="Calibri"/>
        <family val="2"/>
        <scheme val="minor"/>
      </rPr>
      <t>page owner(s) are not listed in Page Workflow</t>
    </r>
    <r>
      <rPr>
        <sz val="11"/>
        <color theme="1"/>
        <rFont val="Calibri"/>
        <family val="2"/>
        <scheme val="minor"/>
      </rPr>
      <t xml:space="preserve"> because they move the pages into workflow. 
After the page owner clicks "Start Workflow" to move the page to the first person/role in workflow, the first person/role receives an email notification</t>
    </r>
    <r>
      <rPr>
        <vertAlign val="superscript"/>
        <sz val="11"/>
        <color theme="1"/>
        <rFont val="Calibri"/>
        <family val="2"/>
        <scheme val="minor"/>
      </rPr>
      <t>2</t>
    </r>
    <r>
      <rPr>
        <sz val="11"/>
        <color theme="1"/>
        <rFont val="Calibri"/>
        <family val="2"/>
        <scheme val="minor"/>
      </rPr>
      <t xml:space="preserve"> that the page is in his/her work queue.
Separate each userID or role name with a comma (no space after the comma) to list each step in workflow. 
</t>
    </r>
    <r>
      <rPr>
        <i/>
        <sz val="11"/>
        <color theme="1"/>
        <rFont val="Calibri"/>
        <family val="2"/>
        <scheme val="minor"/>
      </rPr>
      <t>Example:</t>
    </r>
    <r>
      <rPr>
        <sz val="11"/>
        <color theme="1"/>
        <rFont val="Calibri"/>
        <family val="2"/>
        <scheme val="minor"/>
      </rPr>
      <t xml:space="preserve">
MATH assist,MATH chair,LAS dean,Reg
Administrators can edit a page anytime. Users in workflow without administrator permissions can edit a page:
   </t>
    </r>
    <r>
      <rPr>
        <sz val="11"/>
        <color theme="1"/>
        <rFont val="Calibri"/>
        <family val="2"/>
      </rPr>
      <t>•</t>
    </r>
    <r>
      <rPr>
        <sz val="8.8000000000000007"/>
        <color theme="1"/>
        <rFont val="Calibri"/>
        <family val="2"/>
      </rPr>
      <t xml:space="preserve"> </t>
    </r>
    <r>
      <rPr>
        <sz val="11"/>
        <color theme="1"/>
        <rFont val="Calibri"/>
        <family val="2"/>
      </rPr>
      <t xml:space="preserve">when the page is at that user's step in workflow
   • when the user has approved the page but the page has not been approved yet in the next step in workflow
      </t>
    </r>
    <r>
      <rPr>
        <i/>
        <sz val="11"/>
        <color theme="1"/>
        <rFont val="Calibri"/>
        <family val="2"/>
      </rPr>
      <t>Example:</t>
    </r>
    <r>
      <rPr>
        <sz val="11"/>
        <color theme="1"/>
        <rFont val="Calibri"/>
        <family val="2"/>
      </rPr>
      <t xml:space="preserve"> MATH assist can edit the page even though the page is in the MATH chair 
                       work queue. When MATH chair approves the page, MATH assist will not be
                       able to edit the page.
   • when the page has started in workflow and the user is a future step in workflow
      </t>
    </r>
    <r>
      <rPr>
        <i/>
        <sz val="11"/>
        <color theme="1"/>
        <rFont val="Calibri"/>
        <family val="2"/>
      </rPr>
      <t xml:space="preserve">Example: </t>
    </r>
    <r>
      <rPr>
        <sz val="11"/>
        <color theme="1"/>
        <rFont val="Calibri"/>
        <family val="2"/>
      </rPr>
      <t>LAS dean can edit the page when the page is in the MATH assist work 
                       queue and in the MATH chair work queue.</t>
    </r>
  </si>
  <si>
    <r>
      <t>1</t>
    </r>
    <r>
      <rPr>
        <b/>
        <sz val="11"/>
        <color theme="1"/>
        <rFont val="Calibri"/>
        <family val="2"/>
        <scheme val="minor"/>
      </rPr>
      <t>UserIDs</t>
    </r>
    <r>
      <rPr>
        <sz val="11"/>
        <color theme="1"/>
        <rFont val="Calibri"/>
        <family val="2"/>
        <scheme val="minor"/>
      </rPr>
      <t xml:space="preserve"> are individual people's usernames to log into the system. This may be the same username a person uses to log into the institution's system. 
</t>
    </r>
    <r>
      <rPr>
        <b/>
        <sz val="11"/>
        <color theme="1"/>
        <rFont val="Calibri"/>
        <family val="2"/>
        <scheme val="minor"/>
      </rPr>
      <t>Role names</t>
    </r>
    <r>
      <rPr>
        <sz val="11"/>
        <color theme="1"/>
        <rFont val="Calibri"/>
        <family val="2"/>
        <scheme val="minor"/>
      </rPr>
      <t xml:space="preserve"> are explained in the </t>
    </r>
    <r>
      <rPr>
        <b/>
        <sz val="11"/>
        <color theme="1"/>
        <rFont val="Calibri"/>
        <family val="2"/>
        <scheme val="minor"/>
      </rPr>
      <t>Roles Data section</t>
    </r>
    <r>
      <rPr>
        <sz val="11"/>
        <color theme="1"/>
        <rFont val="Calibri"/>
        <family val="2"/>
        <scheme val="minor"/>
      </rPr>
      <t xml:space="preserve"> below. Role names include the userIDs of each person in that role. An example of when a role name would be used is when more than one person is responsible for editing/approving a catalog page, Using role names is helpful especially if one person is out of the office, because others in the role can make the edits and approve the page to keep it moving through workflow.  Using role names is also helpful when one person is responsible for editing/approving several pages.  If a change to the ID is needed, this is updated in the role, as opposed to updating it in multiple workflows.
Role names must be defined on the </t>
    </r>
    <r>
      <rPr>
        <b/>
        <sz val="11"/>
        <color theme="1"/>
        <rFont val="Calibri"/>
        <family val="2"/>
        <scheme val="minor"/>
      </rPr>
      <t>RolesData</t>
    </r>
    <r>
      <rPr>
        <sz val="11"/>
        <color theme="1"/>
        <rFont val="Calibri"/>
        <family val="2"/>
        <scheme val="minor"/>
      </rPr>
      <t xml:space="preserve"> tab.</t>
    </r>
  </si>
  <si>
    <r>
      <t>2</t>
    </r>
    <r>
      <rPr>
        <sz val="11"/>
        <color theme="1"/>
        <rFont val="Calibri"/>
        <family val="2"/>
        <scheme val="minor"/>
      </rPr>
      <t xml:space="preserve">The standard email notification for a role is received by only the first person in the user list for the role when a page is ready for that role to edit and approve a catalog page. Two options are available in addition to the standard: </t>
    </r>
    <r>
      <rPr>
        <i/>
        <sz val="11"/>
        <color theme="1"/>
        <rFont val="Calibri"/>
        <family val="2"/>
        <scheme val="minor"/>
      </rPr>
      <t>all</t>
    </r>
    <r>
      <rPr>
        <sz val="11"/>
        <color theme="1"/>
        <rFont val="Calibri"/>
        <family val="2"/>
        <scheme val="minor"/>
      </rPr>
      <t xml:space="preserve"> and </t>
    </r>
    <r>
      <rPr>
        <i/>
        <sz val="11"/>
        <color theme="1"/>
        <rFont val="Calibri"/>
        <family val="2"/>
        <scheme val="minor"/>
      </rPr>
      <t>none</t>
    </r>
    <r>
      <rPr>
        <sz val="11"/>
        <color theme="1"/>
        <rFont val="Calibri"/>
        <family val="2"/>
        <scheme val="minor"/>
      </rPr>
      <t xml:space="preserve">.
The </t>
    </r>
    <r>
      <rPr>
        <i/>
        <sz val="11"/>
        <color theme="1"/>
        <rFont val="Calibri"/>
        <family val="2"/>
        <scheme val="minor"/>
      </rPr>
      <t>all</t>
    </r>
    <r>
      <rPr>
        <sz val="11"/>
        <color theme="1"/>
        <rFont val="Calibri"/>
        <family val="2"/>
        <scheme val="minor"/>
      </rPr>
      <t xml:space="preserve"> option means that each person listed in the user list for the role receives an email notification when a page is ready for that role to edit/approve a catalog page.
The </t>
    </r>
    <r>
      <rPr>
        <i/>
        <sz val="11"/>
        <color theme="1"/>
        <rFont val="Calibri"/>
        <family val="2"/>
        <scheme val="minor"/>
      </rPr>
      <t>none</t>
    </r>
    <r>
      <rPr>
        <sz val="11"/>
        <color theme="1"/>
        <rFont val="Calibri"/>
        <family val="2"/>
        <scheme val="minor"/>
      </rPr>
      <t xml:space="preserve"> option means that no one listed in the user list for the role receives an email notification when a page is ready for that role to edit/approve a catalog page.</t>
    </r>
  </si>
  <si>
    <t>EXAMPLE</t>
  </si>
  <si>
    <t>Page Path</t>
  </si>
  <si>
    <t>/welcome/</t>
  </si>
  <si>
    <t>Welcome to the University</t>
  </si>
  <si>
    <t>Catalog Editor</t>
  </si>
  <si>
    <t>/colleges/arts-sciences/biology/molecular-bs</t>
  </si>
  <si>
    <t>Bachelor of Science in Molecular Biology</t>
  </si>
  <si>
    <t>jhanson,jjones</t>
  </si>
  <si>
    <t>BIO Dean,AS Dean,Catalog Editor</t>
  </si>
  <si>
    <t>Roles Data - Overview of Tab</t>
  </si>
  <si>
    <t>Information on this tab must be included if role names are used in workflow.</t>
  </si>
  <si>
    <r>
      <t xml:space="preserve">Column 1 - </t>
    </r>
    <r>
      <rPr>
        <b/>
        <sz val="11"/>
        <rFont val="Calibri"/>
        <family val="2"/>
        <scheme val="minor"/>
      </rPr>
      <t>Role Name</t>
    </r>
    <r>
      <rPr>
        <sz val="11"/>
        <rFont val="Calibri"/>
        <family val="2"/>
        <scheme val="minor"/>
      </rPr>
      <t xml:space="preserve"> is the name of the role. For roles that should match roles used for  Curriculum Management (CIM), College, Department, or Subject codes must be used and underscores and hyphens may </t>
    </r>
    <r>
      <rPr>
        <b/>
        <sz val="11"/>
        <rFont val="Calibri"/>
        <family val="2"/>
        <scheme val="minor"/>
      </rPr>
      <t xml:space="preserve">not </t>
    </r>
    <r>
      <rPr>
        <sz val="11"/>
        <rFont val="Calibri"/>
        <family val="2"/>
        <scheme val="minor"/>
      </rPr>
      <t xml:space="preserve">be used to separate terms in the role name.  </t>
    </r>
    <r>
      <rPr>
        <b/>
        <sz val="11"/>
        <rFont val="Calibri"/>
        <family val="2"/>
        <scheme val="minor"/>
      </rPr>
      <t>If using College, Department, or Subject codes they must exactly match the SIS data.</t>
    </r>
    <r>
      <rPr>
        <sz val="11"/>
        <rFont val="Calibri"/>
        <family val="2"/>
        <scheme val="minor"/>
      </rPr>
      <t xml:space="preserve">
Other roles may also be used, such as Catalog Editor or Registrar.  
</t>
    </r>
    <r>
      <rPr>
        <i/>
        <sz val="11"/>
        <rFont val="Calibri"/>
        <family val="2"/>
        <scheme val="minor"/>
      </rPr>
      <t/>
    </r>
  </si>
  <si>
    <r>
      <rPr>
        <b/>
        <sz val="11"/>
        <rFont val="Calibri"/>
        <family val="2"/>
        <scheme val="minor"/>
      </rPr>
      <t>Examples:</t>
    </r>
    <r>
      <rPr>
        <sz val="11"/>
        <rFont val="Calibri"/>
        <family val="2"/>
        <scheme val="minor"/>
      </rPr>
      <t xml:space="preserve">
BIO Dean (routes to the Biology department Dean)
</t>
    </r>
    <r>
      <rPr>
        <b/>
        <sz val="11"/>
        <rFont val="Calibri"/>
        <family val="2"/>
        <scheme val="minor"/>
      </rPr>
      <t xml:space="preserve">The role name in the Roles Data tab </t>
    </r>
    <r>
      <rPr>
        <b/>
        <u/>
        <sz val="11"/>
        <rFont val="Calibri"/>
        <family val="2"/>
        <scheme val="minor"/>
      </rPr>
      <t>must be identical</t>
    </r>
    <r>
      <rPr>
        <b/>
        <sz val="11"/>
        <rFont val="Calibri"/>
        <family val="2"/>
        <scheme val="minor"/>
      </rPr>
      <t xml:space="preserve"> to the role name used in the Workflow Data tab.</t>
    </r>
  </si>
  <si>
    <r>
      <t xml:space="preserve">Column 2 - </t>
    </r>
    <r>
      <rPr>
        <b/>
        <sz val="11"/>
        <rFont val="Calibri"/>
        <family val="2"/>
        <scheme val="minor"/>
      </rPr>
      <t>User List</t>
    </r>
    <r>
      <rPr>
        <sz val="11"/>
        <rFont val="Calibri"/>
        <family val="2"/>
        <scheme val="minor"/>
      </rPr>
      <t xml:space="preserve"> is the list of userIDs for each person who are in that role.
</t>
    </r>
  </si>
  <si>
    <r>
      <rPr>
        <b/>
        <i/>
        <sz val="11"/>
        <rFont val="Calibri"/>
        <family val="2"/>
        <scheme val="minor"/>
      </rPr>
      <t>Note:</t>
    </r>
    <r>
      <rPr>
        <sz val="11"/>
        <rFont val="Calibri"/>
        <family val="2"/>
        <scheme val="minor"/>
      </rPr>
      <t xml:space="preserve"> If more than one userID is listed, separate each with a comma (no space after the comma).
</t>
    </r>
    <r>
      <rPr>
        <i/>
        <sz val="11"/>
        <rFont val="Calibri"/>
        <family val="2"/>
        <scheme val="minor"/>
      </rPr>
      <t>Example:</t>
    </r>
    <r>
      <rPr>
        <sz val="11"/>
        <rFont val="Calibri"/>
        <family val="2"/>
        <scheme val="minor"/>
      </rPr>
      <t xml:space="preserve">
ajones,landerson,dsmith
All users and their userIDs will be in Account Management and User Provisioning (when applicable) when pages are ready to begin in workflow. The data needed for Leepfrog to update Account Management and User Provisioning is explained at the end of this tab and is provided in the </t>
    </r>
    <r>
      <rPr>
        <b/>
        <sz val="11"/>
        <rFont val="Calibri"/>
        <family val="2"/>
        <scheme val="minor"/>
      </rPr>
      <t>UserIDInfo</t>
    </r>
    <r>
      <rPr>
        <sz val="11"/>
        <rFont val="Calibri"/>
        <family val="2"/>
        <scheme val="minor"/>
      </rPr>
      <t xml:space="preserve"> tab.</t>
    </r>
  </si>
  <si>
    <r>
      <t xml:space="preserve">Column 3 - </t>
    </r>
    <r>
      <rPr>
        <b/>
        <sz val="11"/>
        <rFont val="Calibri"/>
        <family val="2"/>
        <scheme val="minor"/>
      </rPr>
      <t>Email</t>
    </r>
    <r>
      <rPr>
        <sz val="11"/>
        <rFont val="Calibri"/>
        <family val="2"/>
        <scheme val="minor"/>
      </rPr>
      <t xml:space="preserve"> is where </t>
    </r>
    <r>
      <rPr>
        <i/>
        <sz val="11"/>
        <rFont val="Calibri"/>
        <family val="2"/>
        <scheme val="minor"/>
      </rPr>
      <t>all</t>
    </r>
    <r>
      <rPr>
        <sz val="11"/>
        <rFont val="Calibri"/>
        <family val="2"/>
        <scheme val="minor"/>
      </rPr>
      <t xml:space="preserve"> or </t>
    </r>
    <r>
      <rPr>
        <i/>
        <sz val="11"/>
        <rFont val="Calibri"/>
        <family val="2"/>
        <scheme val="minor"/>
      </rPr>
      <t>none</t>
    </r>
    <r>
      <rPr>
        <sz val="11"/>
        <rFont val="Calibri"/>
        <family val="2"/>
        <scheme val="minor"/>
      </rPr>
      <t xml:space="preserve"> is written to indicate if a notification rule other than the standard should be used for that role. If the role will follow the standard rule, do not write in the cell.
</t>
    </r>
  </si>
  <si>
    <r>
      <rPr>
        <b/>
        <i/>
        <sz val="11"/>
        <rFont val="Calibri"/>
        <family val="2"/>
        <scheme val="minor"/>
      </rPr>
      <t xml:space="preserve">Note: </t>
    </r>
    <r>
      <rPr>
        <sz val="11"/>
        <rFont val="Calibri"/>
        <family val="2"/>
        <scheme val="minor"/>
      </rPr>
      <t xml:space="preserve"> The all option means that each person listed in the user list for the role receives an email notification when a page is ready for that role to edit and approve a catalog page.
The none option means that no one listed in the user list for the role receives an email notification when a page is ready for that role to edit and approve a catalog page.
The standard email notification for a role is received by only the first person in the user list for the role when a page is ready for that role to edit and approve a catalog page.
</t>
    </r>
    <r>
      <rPr>
        <i/>
        <sz val="11"/>
        <color rgb="FFFF0000"/>
        <rFont val="Calibri"/>
        <family val="2"/>
        <scheme val="minor"/>
      </rPr>
      <t xml:space="preserve">Note:  You only need to specify an email address(s) if you wish to override the default behavior to notify the first userid in the list.  If no email address is specified, the email address will be taken from the email address specified for the userid in User Provisioning. </t>
    </r>
  </si>
  <si>
    <t>RoleName</t>
  </si>
  <si>
    <t>UserList</t>
  </si>
  <si>
    <t>Email</t>
  </si>
  <si>
    <t>bsmith,vlaw</t>
  </si>
  <si>
    <t>njones,pdavid,kwarner</t>
  </si>
  <si>
    <t>BIO Dean</t>
  </si>
  <si>
    <t>achrest,dthomas</t>
  </si>
  <si>
    <t>AS Dean</t>
  </si>
  <si>
    <t>tjensen</t>
  </si>
  <si>
    <t>UserIDInfo - Overview of Tab</t>
  </si>
  <si>
    <t xml:space="preserve">Column 1 - userID is where an author's userID is listed. </t>
  </si>
  <si>
    <r>
      <rPr>
        <b/>
        <i/>
        <sz val="11"/>
        <rFont val="Calibri"/>
        <family val="2"/>
        <scheme val="minor"/>
      </rPr>
      <t xml:space="preserve">Note: </t>
    </r>
    <r>
      <rPr>
        <sz val="11"/>
        <rFont val="Calibri"/>
        <family val="2"/>
        <scheme val="minor"/>
      </rPr>
      <t>Each person who has his/her userID listed in the Workflow Data tab or in the Roles Data tab and who is not an admin on campus should have his/her userID data provided in the UserIDInfo tab. 
If a userID for a person in a step in workflow is not included in the UserIDInfo tab, workflow will not work for that page.</t>
    </r>
  </si>
  <si>
    <t>Column 2 - User Email Address is where an author's email address is listed.</t>
  </si>
  <si>
    <r>
      <rPr>
        <b/>
        <i/>
        <sz val="11"/>
        <rFont val="Calibri"/>
        <family val="2"/>
        <scheme val="minor"/>
      </rPr>
      <t xml:space="preserve">Note: </t>
    </r>
    <r>
      <rPr>
        <sz val="11"/>
        <rFont val="Calibri"/>
        <family val="2"/>
        <scheme val="minor"/>
      </rPr>
      <t>If the email address is the person's userID with @(school).edu, this cell can be left blank.</t>
    </r>
  </si>
  <si>
    <t>Column 3 - User First Name</t>
  </si>
  <si>
    <t>Column 4 - User Last Name</t>
  </si>
  <si>
    <t>userID</t>
  </si>
  <si>
    <t>User Email Address</t>
  </si>
  <si>
    <t>User First Name</t>
  </si>
  <si>
    <t>User Last Name</t>
  </si>
  <si>
    <t>bsmith</t>
  </si>
  <si>
    <t>bsmith1@uta.edu</t>
  </si>
  <si>
    <t>Bruce</t>
  </si>
  <si>
    <t>Smith</t>
  </si>
  <si>
    <t>pdavid</t>
  </si>
  <si>
    <t>Patricia</t>
  </si>
  <si>
    <t>David</t>
  </si>
  <si>
    <t>v.5</t>
  </si>
  <si>
    <t>1/03/16 jnw</t>
  </si>
  <si>
    <t>Instructions for Completing the 'Catalog Page Workflow' Spreadsheet</t>
  </si>
  <si>
    <t>Questions</t>
  </si>
  <si>
    <t>Courseleaf/Login userId</t>
  </si>
  <si>
    <t>Event</t>
  </si>
  <si>
    <t>User Name</t>
  </si>
  <si>
    <t>Domain</t>
  </si>
  <si>
    <t>Computer</t>
  </si>
  <si>
    <t>Date and Time</t>
  </si>
  <si>
    <t>dscudiero</t>
  </si>
  <si>
    <t>LEEPFROG</t>
  </si>
  <si>
    <t>DURO</t>
  </si>
  <si>
    <t xml:space="preserve">                     Save</t>
  </si>
  <si>
    <t xml:space="preserve">viability.  The client will need to be able to open workbooks that have active content to use this spreadsheet.  Please review the </t>
  </si>
  <si>
    <t xml:space="preserve">This is an active spreadsheet that contains programming to perform various operations to track changes and to improve data </t>
  </si>
  <si>
    <t>Sheet</t>
  </si>
  <si>
    <t>CAT Instructions</t>
  </si>
  <si>
    <t>Password</t>
  </si>
  <si>
    <t>david</t>
  </si>
  <si>
    <t>amy</t>
  </si>
  <si>
    <t>When the workbook is saved, the default sheet protections will be automatically applied.</t>
  </si>
  <si>
    <t>This 'Read Me' worksheet will be automatically hidden on the first save.</t>
  </si>
  <si>
    <t>I.e. if you are getting catalog page data from the client then hide CIM worksheets, etc.</t>
  </si>
  <si>
    <t>Obviously these passwords should not be provided to the client.</t>
  </si>
  <si>
    <t>Below is a list of passwords used to protect the various worksheets, if necessary you can use these passwords to unprotect a worksheet.</t>
  </si>
  <si>
    <r>
      <t xml:space="preserve">Please </t>
    </r>
    <r>
      <rPr>
        <sz val="12"/>
        <color rgb="FFFF0000"/>
        <rFont val="Calibri"/>
        <family val="2"/>
        <scheme val="minor"/>
      </rPr>
      <t>delete</t>
    </r>
    <r>
      <rPr>
        <sz val="12"/>
        <color rgb="FF000000"/>
        <rFont val="Calibri"/>
        <family val="2"/>
        <scheme val="minor"/>
      </rPr>
      <t xml:space="preserve"> any worksheets that are not necessary for the circumstances for this specific usage of the workbook </t>
    </r>
  </si>
  <si>
    <t>notes below that explain the special considerations when using this workbook.</t>
  </si>
  <si>
    <t>Workflow Name /Organizational unit</t>
  </si>
  <si>
    <t>Step Name</t>
  </si>
  <si>
    <t>New course</t>
  </si>
  <si>
    <t>Change course</t>
  </si>
  <si>
    <t>Delete course</t>
  </si>
  <si>
    <t>Undergraduate</t>
  </si>
  <si>
    <t>Graduate</t>
  </si>
  <si>
    <t>Notify First</t>
  </si>
  <si>
    <t>Notify All</t>
  </si>
  <si>
    <t>If Exists</t>
  </si>
  <si>
    <t>Custom Conditions</t>
  </si>
  <si>
    <t>CIM xxxxx Workflow Feedback</t>
  </si>
  <si>
    <t xml:space="preserve">For CIM workflows, the worksheet 'CIM xxxxx Workflow Feedback' and 'CIM xxxx Worfkflow Spec' should be renamed changing </t>
  </si>
  <si>
    <t>the 'xxxxx' to the CIM product.  I.e. 'Courses' or 'Programs'.  The worksheet can be duplicated as necessary.</t>
  </si>
  <si>
    <t>Library</t>
  </si>
  <si>
    <t>If computer resources are needed</t>
  </si>
  <si>
    <t>Information Technology</t>
  </si>
  <si>
    <t>General Education Committee Chair</t>
  </si>
  <si>
    <t>General Education Committee</t>
  </si>
  <si>
    <t>Undergraduate Curriculum Committee Chair</t>
  </si>
  <si>
    <t>General Educaton</t>
  </si>
  <si>
    <t>LAS &amp; ENGR colleges</t>
  </si>
  <si>
    <t>- The step is a notification step, only notify all members of the role</t>
  </si>
  <si>
    <t>- The step is a notification step, only notify the first member of the role</t>
  </si>
  <si>
    <t>- The step applies to proposals for general education courses</t>
  </si>
  <si>
    <t>- The step applies to proposals for graduate courses</t>
  </si>
  <si>
    <t>- The step applies to proposals for undergraduate courses</t>
  </si>
  <si>
    <t>- The step applies to proposals for course deletions</t>
  </si>
  <si>
    <t>- The step applies to proposals for course changes</t>
  </si>
  <si>
    <t>- The step applies to proposals for a new course</t>
  </si>
  <si>
    <t>Standard Conditionals / Modifiers</t>
  </si>
  <si>
    <t>- The list of colleges, schools, departments, etc. that the workflow is to be applied to.</t>
  </si>
  <si>
    <t>Organizational Unit(s)</t>
  </si>
  <si>
    <t>CIM Instructions</t>
  </si>
  <si>
    <t>CIM xxxxx Workflow Spec</t>
  </si>
  <si>
    <t>Usage</t>
  </si>
  <si>
    <t>Read Me</t>
  </si>
  <si>
    <t>To send questions to the client</t>
  </si>
  <si>
    <t>Instruction on how to complete the 'Catalog Page Workflow' worksheet</t>
  </si>
  <si>
    <t>Instruction on how to complete the 'CIM xxxxx Workflow Spec' worksheet</t>
  </si>
  <si>
    <t>Document owners and workflow for catalog pages</t>
  </si>
  <si>
    <t>Document CIM Workflow</t>
  </si>
  <si>
    <t>Document CIM/CAT roles</t>
  </si>
  <si>
    <t>Document Courseleaf user account data</t>
  </si>
  <si>
    <t>This sheet</t>
  </si>
  <si>
    <t xml:space="preserve">   1 - Role Naming: if you are using Roles as  or is there is a potential that you are going to use CIM in the future please</t>
  </si>
  <si>
    <t xml:space="preserve">   3 - Email Override -- Note: This data field only applies to 'approver' steps in the workflow, not 'fyi' or 'fyiall' steps.</t>
  </si>
  <si>
    <t xml:space="preserve">       - Set to 'none' to send out no notifications.</t>
  </si>
  <si>
    <t xml:space="preserve">         Note: You should only need to specify an email address if you want a different email than what would be normally be</t>
  </si>
  <si>
    <t xml:space="preserve">        If a role is not going to be used in the workflow then please so indicate by using strikethrough on the</t>
  </si>
  <si>
    <t xml:space="preserve">          *** Please do NOT change column headings, please do NOT add any columns, both will prevent the data from being loaded ***</t>
  </si>
  <si>
    <t>At the top of the header row for the actual data rows.  Do not remove/change this text if you do automatic processing</t>
  </si>
  <si>
    <t>will not work properly.</t>
  </si>
  <si>
    <t xml:space="preserve">You should use the 'getPageData' script to retrieve the page data when preparing the 'Catalog Page Workflow' worksheet.  </t>
  </si>
  <si>
    <t xml:space="preserve">for additional information see: </t>
  </si>
  <si>
    <t>https://stage-internal.leepfrog.com/support/tools/</t>
  </si>
  <si>
    <t>Page Owner (Single line, comma separated, no blanks.  Please see Role Naming above)</t>
  </si>
  <si>
    <t>Page Workflow (Single line, comma separated, no blanks)</t>
  </si>
  <si>
    <t>Email Override (Please see above)</t>
  </si>
  <si>
    <t>Department, College, or Subject (For your reference only)</t>
  </si>
  <si>
    <t>UIN (Optional, see #3 above)</t>
  </si>
  <si>
    <r>
      <rPr>
        <b/>
        <i/>
        <sz val="12"/>
        <color theme="8" tint="-0.249977111117893"/>
        <rFont val="Calibri"/>
        <family val="2"/>
        <scheme val="minor"/>
      </rPr>
      <t>Last</t>
    </r>
    <r>
      <rPr>
        <b/>
        <sz val="12"/>
        <color theme="8" tint="-0.249977111117893"/>
        <rFont val="Calibri"/>
        <family val="2"/>
        <scheme val="minor"/>
      </rPr>
      <t xml:space="preserve"> Name</t>
    </r>
  </si>
  <si>
    <r>
      <rPr>
        <b/>
        <i/>
        <sz val="12"/>
        <color theme="8" tint="-0.249977111117893"/>
        <rFont val="Calibri"/>
        <family val="2"/>
        <scheme val="minor"/>
      </rPr>
      <t>Email</t>
    </r>
    <r>
      <rPr>
        <b/>
        <sz val="12"/>
        <color theme="8" tint="-0.249977111117893"/>
        <rFont val="Calibri"/>
        <family val="2"/>
        <scheme val="minor"/>
      </rPr>
      <t xml:space="preserve"> Address</t>
    </r>
  </si>
  <si>
    <r>
      <t xml:space="preserve">Page </t>
    </r>
    <r>
      <rPr>
        <b/>
        <i/>
        <sz val="12"/>
        <color theme="8" tint="-0.249977111117893"/>
        <rFont val="Calibri"/>
        <family val="2"/>
        <scheme val="minor"/>
      </rPr>
      <t>Title</t>
    </r>
  </si>
  <si>
    <t>4</t>
  </si>
  <si>
    <t>3</t>
  </si>
  <si>
    <t>5</t>
  </si>
  <si>
    <t>6</t>
  </si>
  <si>
    <t>7</t>
  </si>
  <si>
    <t xml:space="preserve">The workbook will automatically be saved with a 'xlsm' file extension indicating that it is an active workbook.  Should the client </t>
  </si>
  <si>
    <t>Sheet changed on: 3/4/2016 4:43:30 PM by dscudiero</t>
  </si>
  <si>
    <t xml:space="preserve">                     Open</t>
  </si>
  <si>
    <t xml:space="preserve">When saving the workbook, you will be prompted to provide a client name, the client name provided will be prepended to the file </t>
  </si>
  <si>
    <t xml:space="preserve">name with a ‘-‘ connector, i.e. ‘&lt;clientName&gt;-CourseleafData.xlsm’.  The Workbook will be written out to the appropriate folder </t>
  </si>
  <si>
    <t xml:space="preserve">the ‘clients’ structure.  If the ‘CAT Instructions’ sheet is visible then it will be saved in the ‘CAT’ folder, otherwise it will be saved in </t>
  </si>
  <si>
    <t xml:space="preserve">the ‘CIM’ folder.  </t>
  </si>
  <si>
    <t>button at the bottom, that will take you to the client name prompt.</t>
  </si>
  <si>
    <t>2</t>
  </si>
  <si>
    <t>1</t>
  </si>
  <si>
    <t>Make sure that your Trust Center settings for Macros is set to 'Enable all Macros' before you try to save the workbook.</t>
  </si>
  <si>
    <t>I.e. 1) Select the 'File' tab, 2) Select 'Options', 3) Select 'Trust Center', 4) Click on 'Trust Center Settings', 5) Select 'Macro Settings'</t>
  </si>
  <si>
    <t>8</t>
  </si>
  <si>
    <t>absolutely not be able to open workbooks with macros you can reopen the workbook and then use 'save as' to save the workbook as a XLSX file.</t>
  </si>
  <si>
    <t>To send implemented  CIM workflows to the client for review</t>
  </si>
  <si>
    <t>This script will generate a tab delimited file that can then be used to paste data into the page path and page title columns of the worksheet.</t>
  </si>
  <si>
    <t>For worksheets that are programmatically processed, you will see:</t>
  </si>
  <si>
    <t xml:space="preserve">        attempt to use the CIM Role naming convention.  CIM roles that are department or college specific are typically of the form</t>
  </si>
  <si>
    <t xml:space="preserve">   2 - Role Members -- Userids should be separated with commas, no blanks please.  If your institution uses user ID</t>
  </si>
  <si>
    <t xml:space="preserve">       (UINs) as your login id then this data should be in terms of the role members UINs for this data, failure to do so will</t>
  </si>
  <si>
    <t xml:space="preserve">       - Leave to blank to notify only the first individual in the userid list.</t>
  </si>
  <si>
    <t xml:space="preserve">       - Set to 'all' to notify all individuals in the userid list.  Note if the role has an 'fyiall' directive</t>
  </si>
  <si>
    <t xml:space="preserve">       - Otherwise the specified address will be used for emails for this role.  you only need to specify if you want</t>
  </si>
  <si>
    <t>data.  Dynamic steps may include variables in the text of the step name that will be substituted with the current data from the proposal when</t>
  </si>
  <si>
    <t>the proposal enters workflow.  The standard variables that are available are as follows:</t>
  </si>
  <si>
    <t>-  Only include the step if it resolves to a defined role name after variable substation (i.e. Col, Dept, …)</t>
  </si>
  <si>
    <t>- Select as many that apply, Any cell left blank is assumed to be 'No', i.e. the condition or modifier does not apply.</t>
  </si>
  <si>
    <t>General Education</t>
  </si>
  <si>
    <t>General Education/Core</t>
  </si>
  <si>
    <t xml:space="preserve">- A list of  conditionals applied to the step when entering workflow.  </t>
  </si>
  <si>
    <t>Modifiers change the behavior of the step.  The standard modifiers are as follows:</t>
  </si>
  <si>
    <t>Implementation / Comment</t>
  </si>
  <si>
    <t>Behavior may be modified by the 'email' attribute on the role.</t>
  </si>
  <si>
    <t xml:space="preserve">   3) If there is preexisting member data for a role it is added in below as a starting point.</t>
  </si>
  <si>
    <t xml:space="preserve">   4) Roles below are a composite of all roles from workflows in: courseadmin, programadmin,etc..</t>
  </si>
  <si>
    <t xml:space="preserve">   3 - If your institution logs in with Usier Id Numbers (UINs) then please enter that date in the UIN field.</t>
  </si>
  <si>
    <t>Leepfrog Read Me</t>
  </si>
  <si>
    <t xml:space="preserve">If when saving the file you see the ‘Save As select location’ screen before you see the client name prompt, please just click on the ‘browse’ </t>
  </si>
  <si>
    <t>Role Members (Single line, comma separated, no blanks)</t>
  </si>
  <si>
    <t>Sheet changed on: 3/21/2016 9:17:05 AM by dscudiero</t>
  </si>
  <si>
    <t>Sheet changed on: 04/28/2016 3:33:51 PM by dscudiero</t>
  </si>
  <si>
    <t>Sheet changed on: 04/28/2016 3:33:52 PM by dscudiero</t>
  </si>
  <si>
    <t>Sheet changed on: 04/28/2016 3:33:53 PM by dscudiero</t>
  </si>
  <si>
    <t>Sheet changed on: 06/06/2016 4:40:21 PM by dscudiero</t>
  </si>
  <si>
    <t>Substitued Variables</t>
  </si>
  <si>
    <t>Variable</t>
  </si>
  <si>
    <t>the proposal enters workflow.  See 'Substituted Variables' below</t>
  </si>
  <si>
    <t>Subj</t>
  </si>
  <si>
    <t>Dept</t>
  </si>
  <si>
    <t>Col</t>
  </si>
  <si>
    <t>The 'subject' code value for the current proposal will be substituted</t>
  </si>
  <si>
    <t>The 'department' code value for the current proposal will be substituted</t>
  </si>
  <si>
    <t>The 'college' code value for the current proposal will be substituted</t>
  </si>
  <si>
    <t>wfrules:Subj|attr|subject.code|</t>
  </si>
  <si>
    <t>wfrules:Dept|attr|department.code|</t>
  </si>
  <si>
    <t>wfrules:Col|attr|college.code</t>
  </si>
  <si>
    <r>
      <t xml:space="preserve">      </t>
    </r>
    <r>
      <rPr>
        <i/>
        <sz val="11"/>
        <color theme="1"/>
        <rFont val="Calibri"/>
        <family val="2"/>
        <scheme val="minor"/>
      </rPr>
      <t>'optional'</t>
    </r>
    <r>
      <rPr>
        <sz val="11"/>
        <color theme="1"/>
        <rFont val="Calibri"/>
        <family val="2"/>
        <scheme val="minor"/>
      </rPr>
      <t xml:space="preserve">  --  The step will be only include in the workflow if after substitution a matching role name is defined in Role Management.</t>
    </r>
  </si>
  <si>
    <t>Step Conditionals</t>
  </si>
  <si>
    <t>- See 'Conditional / Modifiers' section for the definition of the conditional</t>
  </si>
  <si>
    <t>Step Modifiers</t>
  </si>
  <si>
    <r>
      <t xml:space="preserve">      </t>
    </r>
    <r>
      <rPr>
        <i/>
        <sz val="11"/>
        <color theme="1"/>
        <rFont val="Calibri"/>
        <family val="2"/>
        <scheme val="minor"/>
      </rPr>
      <t>'fyiall'</t>
    </r>
    <r>
      <rPr>
        <sz val="11"/>
        <color theme="1"/>
        <rFont val="Calibri"/>
        <family val="2"/>
        <scheme val="minor"/>
      </rPr>
      <t xml:space="preserve">         --  The member users defined in the resolved role will receive an notification email but will not have an approver role in the workflow.</t>
    </r>
  </si>
  <si>
    <r>
      <t xml:space="preserve">      </t>
    </r>
    <r>
      <rPr>
        <i/>
        <sz val="11"/>
        <color theme="1"/>
        <rFont val="Calibri"/>
        <family val="2"/>
        <scheme val="minor"/>
      </rPr>
      <t>'fyi'</t>
    </r>
    <r>
      <rPr>
        <sz val="11"/>
        <color theme="1"/>
        <rFont val="Calibri"/>
        <family val="2"/>
        <scheme val="minor"/>
      </rPr>
      <t xml:space="preserve">              --  The member users defined in the resolved role will receive an notification email but will not have an approver role in the workflow.</t>
    </r>
  </si>
  <si>
    <t xml:space="preserve">                                 Only the first member in the member list of the role will receive a notification unless the role has an email override of 'all' specified.</t>
  </si>
  <si>
    <t xml:space="preserve">                                All members in the member list of the role will receive a notification.</t>
  </si>
  <si>
    <t>X</t>
  </si>
  <si>
    <t>If library resources are needed</t>
  </si>
</sst>
</file>

<file path=xl/styles.xml><?xml version="1.0" encoding="utf-8"?>
<styleSheet xmlns="http://schemas.openxmlformats.org/spreadsheetml/2006/main" xmlns:mc="http://schemas.openxmlformats.org/markup-compatibility/2006" xmlns:x14ac="http://schemas.microsoft.com/office/spreadsheetml/2009/9/ac" mc:Ignorable="x14ac">
  <fonts count="63" x14ac:knownFonts="1">
    <font>
      <sz val="11"/>
      <color theme="1"/>
      <name val="Calibri"/>
      <family val="2"/>
      <scheme val="minor"/>
    </font>
    <font>
      <sz val="11"/>
      <name val="Calibri"/>
      <family val="2"/>
      <scheme val="minor"/>
    </font>
    <font>
      <b/>
      <i/>
      <sz val="14"/>
      <color theme="8" tint="-0.249977111117893"/>
      <name val="Calibri"/>
      <family val="2"/>
      <scheme val="minor"/>
    </font>
    <font>
      <b/>
      <sz val="12"/>
      <color theme="8" tint="-0.249977111117893"/>
      <name val="Calibri"/>
      <family val="2"/>
      <scheme val="minor"/>
    </font>
    <font>
      <i/>
      <sz val="11"/>
      <color theme="1" tint="0.499984740745262"/>
      <name val="Calibri"/>
      <family val="2"/>
      <scheme val="minor"/>
    </font>
    <font>
      <b/>
      <sz val="11"/>
      <color theme="1"/>
      <name val="Calibri"/>
      <family val="2"/>
      <scheme val="minor"/>
    </font>
    <font>
      <sz val="11"/>
      <color rgb="FFFF0000"/>
      <name val="Calibri"/>
      <family val="2"/>
      <scheme val="minor"/>
    </font>
    <font>
      <sz val="11"/>
      <color theme="0"/>
      <name val="Calibri"/>
      <family val="2"/>
      <scheme val="minor"/>
    </font>
    <font>
      <b/>
      <sz val="11"/>
      <color theme="8" tint="-0.249977111117893"/>
      <name val="Calibri"/>
      <family val="2"/>
      <scheme val="minor"/>
    </font>
    <font>
      <i/>
      <sz val="9"/>
      <color theme="8" tint="-0.249977111117893"/>
      <name val="Calibri"/>
      <family val="2"/>
      <scheme val="minor"/>
    </font>
    <font>
      <b/>
      <i/>
      <sz val="16"/>
      <color rgb="FF0070C0"/>
      <name val="Calibri"/>
      <family val="2"/>
      <scheme val="minor"/>
    </font>
    <font>
      <b/>
      <i/>
      <sz val="11"/>
      <color rgb="FFFF0000"/>
      <name val="Calibri"/>
      <family val="2"/>
      <scheme val="minor"/>
    </font>
    <font>
      <i/>
      <sz val="11"/>
      <color rgb="FF0070C0"/>
      <name val="Calibri"/>
      <family val="2"/>
      <scheme val="minor"/>
    </font>
    <font>
      <b/>
      <i/>
      <sz val="11"/>
      <color rgb="FF0070C0"/>
      <name val="Calibri"/>
      <family val="2"/>
      <scheme val="minor"/>
    </font>
    <font>
      <b/>
      <i/>
      <sz val="10"/>
      <color rgb="FF0070C0"/>
      <name val="Calibri"/>
      <family val="2"/>
      <scheme val="minor"/>
    </font>
    <font>
      <i/>
      <sz val="10"/>
      <color theme="1"/>
      <name val="Calibri"/>
      <family val="2"/>
      <scheme val="minor"/>
    </font>
    <font>
      <sz val="12"/>
      <color rgb="FFFF0000"/>
      <name val="Calibri"/>
      <family val="2"/>
      <scheme val="minor"/>
    </font>
    <font>
      <b/>
      <i/>
      <sz val="10"/>
      <color theme="1"/>
      <name val="Calibri"/>
      <family val="2"/>
      <scheme val="minor"/>
    </font>
    <font>
      <b/>
      <sz val="11"/>
      <color rgb="FFFF0000"/>
      <name val="Calibri"/>
      <family val="2"/>
      <scheme val="minor"/>
    </font>
    <font>
      <b/>
      <i/>
      <sz val="9"/>
      <color theme="8" tint="-0.249977111117893"/>
      <name val="Calibri"/>
      <family val="2"/>
      <scheme val="minor"/>
    </font>
    <font>
      <i/>
      <sz val="11"/>
      <color theme="8" tint="-0.249977111117893"/>
      <name val="Calibri"/>
      <family val="2"/>
      <scheme val="minor"/>
    </font>
    <font>
      <b/>
      <i/>
      <sz val="11"/>
      <color theme="8" tint="-0.249977111117893"/>
      <name val="Calibri"/>
      <family val="2"/>
      <scheme val="minor"/>
    </font>
    <font>
      <i/>
      <sz val="11"/>
      <color theme="1"/>
      <name val="Calibri"/>
      <family val="2"/>
      <scheme val="minor"/>
    </font>
    <font>
      <b/>
      <sz val="14"/>
      <color theme="8" tint="-0.249977111117893"/>
      <name val="Calibri"/>
      <family val="2"/>
      <scheme val="minor"/>
    </font>
    <font>
      <b/>
      <sz val="12"/>
      <color theme="8" tint="-0.24994659260841701"/>
      <name val="Calibri"/>
      <family val="2"/>
      <scheme val="minor"/>
    </font>
    <font>
      <sz val="11"/>
      <color theme="8" tint="-0.249977111117893"/>
      <name val="Calibri"/>
      <family val="2"/>
      <scheme val="minor"/>
    </font>
    <font>
      <sz val="11"/>
      <color theme="0" tint="-0.499984740745262"/>
      <name val="Calibri"/>
      <family val="2"/>
      <scheme val="minor"/>
    </font>
    <font>
      <sz val="11"/>
      <color rgb="FF0070C0"/>
      <name val="Calibri"/>
      <family val="2"/>
      <scheme val="minor"/>
    </font>
    <font>
      <b/>
      <i/>
      <sz val="12"/>
      <color theme="8" tint="-0.249977111117893"/>
      <name val="Calibri"/>
      <family val="2"/>
      <scheme val="minor"/>
    </font>
    <font>
      <b/>
      <i/>
      <sz val="12"/>
      <color rgb="FFFF0000"/>
      <name val="Calibri"/>
      <family val="2"/>
      <scheme val="minor"/>
    </font>
    <font>
      <i/>
      <sz val="11"/>
      <color theme="0" tint="-0.499984740745262"/>
      <name val="Calibri"/>
      <family val="2"/>
      <scheme val="minor"/>
    </font>
    <font>
      <i/>
      <sz val="8"/>
      <color theme="8" tint="-0.249977111117893"/>
      <name val="Calibri"/>
      <family val="2"/>
      <scheme val="minor"/>
    </font>
    <font>
      <b/>
      <sz val="11"/>
      <name val="Calibri"/>
      <family val="2"/>
      <scheme val="minor"/>
    </font>
    <font>
      <b/>
      <i/>
      <sz val="11"/>
      <name val="Calibri"/>
      <family val="2"/>
      <scheme val="minor"/>
    </font>
    <font>
      <i/>
      <sz val="10"/>
      <color rgb="FFFF0000"/>
      <name val="Calibri"/>
      <family val="2"/>
      <scheme val="minor"/>
    </font>
    <font>
      <b/>
      <sz val="11"/>
      <color rgb="FF0070C0"/>
      <name val="Calibri"/>
      <family val="2"/>
      <scheme val="minor"/>
    </font>
    <font>
      <b/>
      <i/>
      <sz val="16"/>
      <color theme="8" tint="-0.249977111117893"/>
      <name val="Calibri"/>
      <family val="2"/>
      <scheme val="minor"/>
    </font>
    <font>
      <b/>
      <sz val="24"/>
      <color theme="1"/>
      <name val="Calibri"/>
      <family val="2"/>
      <scheme val="minor"/>
    </font>
    <font>
      <sz val="12"/>
      <color theme="1"/>
      <name val="Calibri"/>
      <family val="2"/>
      <scheme val="minor"/>
    </font>
    <font>
      <b/>
      <sz val="12"/>
      <color theme="1"/>
      <name val="Calibri"/>
      <family val="2"/>
      <scheme val="minor"/>
    </font>
    <font>
      <b/>
      <sz val="12"/>
      <color rgb="FF0000CC"/>
      <name val="Calibri"/>
      <family val="2"/>
      <scheme val="minor"/>
    </font>
    <font>
      <sz val="12"/>
      <color rgb="FF0000CC"/>
      <name val="Calibri"/>
      <family val="2"/>
      <scheme val="minor"/>
    </font>
    <font>
      <i/>
      <sz val="11"/>
      <color rgb="FFFF0000"/>
      <name val="Calibri"/>
      <family val="2"/>
      <scheme val="minor"/>
    </font>
    <font>
      <b/>
      <i/>
      <sz val="11"/>
      <color theme="1"/>
      <name val="Calibri"/>
      <family val="2"/>
      <scheme val="minor"/>
    </font>
    <font>
      <vertAlign val="superscript"/>
      <sz val="11"/>
      <color theme="1"/>
      <name val="Calibri"/>
      <family val="2"/>
      <scheme val="minor"/>
    </font>
    <font>
      <sz val="11"/>
      <color theme="1"/>
      <name val="Calibri"/>
      <family val="2"/>
    </font>
    <font>
      <sz val="8.8000000000000007"/>
      <color theme="1"/>
      <name val="Calibri"/>
      <family val="2"/>
    </font>
    <font>
      <i/>
      <sz val="11"/>
      <color theme="1"/>
      <name val="Calibri"/>
      <family val="2"/>
    </font>
    <font>
      <i/>
      <sz val="11"/>
      <name val="Calibri"/>
      <family val="2"/>
      <scheme val="minor"/>
    </font>
    <font>
      <b/>
      <u/>
      <sz val="11"/>
      <name val="Calibri"/>
      <family val="2"/>
      <scheme val="minor"/>
    </font>
    <font>
      <u/>
      <sz val="11"/>
      <color theme="10"/>
      <name val="Calibri"/>
      <family val="2"/>
      <scheme val="minor"/>
    </font>
    <font>
      <i/>
      <sz val="8"/>
      <color rgb="FF0000FF"/>
      <name val="Calibri"/>
      <family val="2"/>
      <scheme val="minor"/>
    </font>
    <font>
      <sz val="12"/>
      <color rgb="FF000000"/>
      <name val="Calibri"/>
      <family val="2"/>
      <scheme val="minor"/>
    </font>
    <font>
      <sz val="8"/>
      <color theme="8" tint="-0.249977111117893"/>
      <name val="Calibri"/>
      <family val="2"/>
      <scheme val="minor"/>
    </font>
    <font>
      <sz val="11"/>
      <color rgb="FF000000"/>
      <name val="Calibri"/>
      <family val="2"/>
      <scheme val="minor"/>
    </font>
    <font>
      <sz val="10"/>
      <color theme="1"/>
      <name val="Calibri"/>
      <family val="2"/>
      <scheme val="minor"/>
    </font>
    <font>
      <b/>
      <sz val="12"/>
      <color rgb="FF0070C0"/>
      <name val="Calibri"/>
      <family val="2"/>
      <scheme val="minor"/>
    </font>
    <font>
      <sz val="11"/>
      <color rgb="FF0000FF"/>
      <name val="Calibri"/>
      <family val="2"/>
      <scheme val="minor"/>
    </font>
    <font>
      <sz val="11"/>
      <color rgb="FF325596"/>
      <name val="Calibri"/>
      <family val="2"/>
      <scheme val="minor"/>
    </font>
    <font>
      <b/>
      <i/>
      <sz val="14"/>
      <color rgb="FF325596"/>
      <name val="Calibri"/>
      <family val="2"/>
      <scheme val="minor"/>
    </font>
    <font>
      <i/>
      <sz val="8"/>
      <color rgb="FF325596"/>
      <name val="Calibri"/>
      <family val="2"/>
      <scheme val="minor"/>
    </font>
    <font>
      <sz val="12"/>
      <color theme="8" tint="-0.249977111117893"/>
      <name val="Calibri"/>
      <family val="2"/>
      <scheme val="minor"/>
    </font>
    <font>
      <i/>
      <sz val="12"/>
      <color theme="8" tint="-0.249977111117893"/>
      <name val="Calibri"/>
      <family val="2"/>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rgb="FF99FFCC"/>
        <bgColor indexed="64"/>
      </patternFill>
    </fill>
    <fill>
      <patternFill patternType="solid">
        <fgColor theme="1"/>
        <bgColor indexed="64"/>
      </patternFill>
    </fill>
    <fill>
      <patternFill patternType="solid">
        <fgColor rgb="FFFFFFCC"/>
        <bgColor indexed="64"/>
      </patternFill>
    </fill>
    <fill>
      <patternFill patternType="solid">
        <fgColor theme="9" tint="0.79998168889431442"/>
        <bgColor indexed="64"/>
      </patternFill>
    </fill>
    <fill>
      <patternFill patternType="solid">
        <fgColor theme="7" tint="0.79998168889431442"/>
        <bgColor indexed="64"/>
      </patternFill>
    </fill>
  </fills>
  <borders count="99">
    <border>
      <left/>
      <right/>
      <top/>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double">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double">
        <color indexed="64"/>
      </right>
      <top style="double">
        <color indexed="64"/>
      </top>
      <bottom style="hair">
        <color indexed="64"/>
      </bottom>
      <diagonal/>
    </border>
    <border>
      <left style="double">
        <color auto="1"/>
      </left>
      <right style="hair">
        <color auto="1"/>
      </right>
      <top style="hair">
        <color auto="1"/>
      </top>
      <bottom style="hair">
        <color auto="1"/>
      </bottom>
      <diagonal/>
    </border>
    <border>
      <left style="hair">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auto="1"/>
      </left>
      <right style="hair">
        <color auto="1"/>
      </right>
      <top style="hair">
        <color auto="1"/>
      </top>
      <bottom/>
      <diagonal/>
    </border>
    <border>
      <left style="hair">
        <color indexed="64"/>
      </left>
      <right style="hair">
        <color indexed="64"/>
      </right>
      <top style="hair">
        <color indexed="64"/>
      </top>
      <bottom/>
      <diagonal/>
    </border>
    <border>
      <left style="hair">
        <color indexed="64"/>
      </left>
      <right style="double">
        <color indexed="64"/>
      </right>
      <top style="hair">
        <color indexed="64"/>
      </top>
      <bottom/>
      <diagonal/>
    </border>
    <border>
      <left style="double">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double">
        <color indexed="64"/>
      </right>
      <top style="hair">
        <color indexed="64"/>
      </top>
      <bottom style="double">
        <color indexed="64"/>
      </bottom>
      <diagonal/>
    </border>
    <border>
      <left style="double">
        <color auto="1"/>
      </left>
      <right style="hair">
        <color auto="1"/>
      </right>
      <top style="double">
        <color auto="1"/>
      </top>
      <bottom style="double">
        <color auto="1"/>
      </bottom>
      <diagonal/>
    </border>
    <border>
      <left style="hair">
        <color auto="1"/>
      </left>
      <right style="hair">
        <color auto="1"/>
      </right>
      <top style="double">
        <color auto="1"/>
      </top>
      <bottom style="double">
        <color auto="1"/>
      </bottom>
      <diagonal/>
    </border>
    <border>
      <left style="hair">
        <color auto="1"/>
      </left>
      <right style="double">
        <color auto="1"/>
      </right>
      <top style="double">
        <color auto="1"/>
      </top>
      <bottom style="double">
        <color auto="1"/>
      </bottom>
      <diagonal/>
    </border>
    <border>
      <left style="hair">
        <color auto="1"/>
      </left>
      <right/>
      <top style="double">
        <color auto="1"/>
      </top>
      <bottom style="double">
        <color auto="1"/>
      </bottom>
      <diagonal/>
    </border>
    <border>
      <left style="hair">
        <color indexed="64"/>
      </left>
      <right/>
      <top style="double">
        <color indexed="64"/>
      </top>
      <bottom style="hair">
        <color indexed="64"/>
      </bottom>
      <diagonal/>
    </border>
    <border>
      <left style="double">
        <color indexed="64"/>
      </left>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double">
        <color indexed="64"/>
      </left>
      <right style="hair">
        <color indexed="64"/>
      </right>
      <top/>
      <bottom style="double">
        <color indexed="64"/>
      </bottom>
      <diagonal/>
    </border>
    <border>
      <left style="hair">
        <color indexed="64"/>
      </left>
      <right/>
      <top/>
      <bottom style="double">
        <color indexed="64"/>
      </bottom>
      <diagonal/>
    </border>
    <border>
      <left style="dashed">
        <color indexed="64"/>
      </left>
      <right style="dashed">
        <color indexed="64"/>
      </right>
      <top/>
      <bottom style="hair">
        <color indexed="64"/>
      </bottom>
      <diagonal/>
    </border>
    <border>
      <left style="dashed">
        <color indexed="64"/>
      </left>
      <right style="dashed">
        <color indexed="64"/>
      </right>
      <top style="hair">
        <color indexed="64"/>
      </top>
      <bottom style="hair">
        <color indexed="64"/>
      </bottom>
      <diagonal/>
    </border>
    <border>
      <left style="dashed">
        <color indexed="64"/>
      </left>
      <right style="double">
        <color indexed="64"/>
      </right>
      <top style="hair">
        <color indexed="64"/>
      </top>
      <bottom style="hair">
        <color indexed="64"/>
      </bottom>
      <diagonal/>
    </border>
    <border>
      <left style="double">
        <color indexed="64"/>
      </left>
      <right style="dashed">
        <color indexed="64"/>
      </right>
      <top style="hair">
        <color indexed="64"/>
      </top>
      <bottom style="double">
        <color indexed="64"/>
      </bottom>
      <diagonal/>
    </border>
    <border>
      <left style="dashed">
        <color indexed="64"/>
      </left>
      <right style="dashed">
        <color indexed="64"/>
      </right>
      <top style="hair">
        <color indexed="64"/>
      </top>
      <bottom style="double">
        <color indexed="64"/>
      </bottom>
      <diagonal/>
    </border>
    <border>
      <left style="dashed">
        <color indexed="64"/>
      </left>
      <right style="double">
        <color indexed="64"/>
      </right>
      <top style="hair">
        <color indexed="64"/>
      </top>
      <bottom style="double">
        <color indexed="64"/>
      </bottom>
      <diagonal/>
    </border>
    <border>
      <left/>
      <right style="hair">
        <color auto="1"/>
      </right>
      <top/>
      <bottom style="hair">
        <color auto="1"/>
      </bottom>
      <diagonal/>
    </border>
    <border>
      <left/>
      <right style="hair">
        <color auto="1"/>
      </right>
      <top style="hair">
        <color auto="1"/>
      </top>
      <bottom style="hair">
        <color auto="1"/>
      </bottom>
      <diagonal/>
    </border>
    <border>
      <left style="double">
        <color indexed="64"/>
      </left>
      <right style="dashed">
        <color indexed="64"/>
      </right>
      <top style="double">
        <color indexed="64"/>
      </top>
      <bottom style="hair">
        <color indexed="64"/>
      </bottom>
      <diagonal/>
    </border>
    <border>
      <left style="dashed">
        <color indexed="64"/>
      </left>
      <right style="dashed">
        <color indexed="64"/>
      </right>
      <top style="double">
        <color indexed="64"/>
      </top>
      <bottom style="hair">
        <color indexed="64"/>
      </bottom>
      <diagonal/>
    </border>
    <border>
      <left style="dashed">
        <color indexed="64"/>
      </left>
      <right style="double">
        <color indexed="64"/>
      </right>
      <top style="double">
        <color indexed="64"/>
      </top>
      <bottom style="hair">
        <color indexed="64"/>
      </bottom>
      <diagonal/>
    </border>
    <border>
      <left style="double">
        <color indexed="64"/>
      </left>
      <right style="dashed">
        <color indexed="64"/>
      </right>
      <top style="hair">
        <color indexed="64"/>
      </top>
      <bottom style="hair">
        <color indexed="64"/>
      </bottom>
      <diagonal/>
    </border>
    <border>
      <left/>
      <right/>
      <top/>
      <bottom style="double">
        <color auto="1"/>
      </bottom>
      <diagonal/>
    </border>
    <border>
      <left style="hair">
        <color indexed="64"/>
      </left>
      <right style="double">
        <color indexed="64"/>
      </right>
      <top/>
      <bottom style="double">
        <color indexed="64"/>
      </bottom>
      <diagonal/>
    </border>
    <border>
      <left style="double">
        <color auto="1"/>
      </left>
      <right style="hair">
        <color auto="1"/>
      </right>
      <top style="double">
        <color auto="1"/>
      </top>
      <bottom style="thin">
        <color auto="1"/>
      </bottom>
      <diagonal/>
    </border>
    <border>
      <left style="hair">
        <color auto="1"/>
      </left>
      <right style="hair">
        <color auto="1"/>
      </right>
      <top style="double">
        <color auto="1"/>
      </top>
      <bottom style="thin">
        <color auto="1"/>
      </bottom>
      <diagonal/>
    </border>
    <border>
      <left style="hair">
        <color auto="1"/>
      </left>
      <right/>
      <top style="double">
        <color auto="1"/>
      </top>
      <bottom style="thin">
        <color auto="1"/>
      </bottom>
      <diagonal/>
    </border>
    <border>
      <left style="double">
        <color auto="1"/>
      </left>
      <right style="hair">
        <color auto="1"/>
      </right>
      <top/>
      <bottom style="hair">
        <color auto="1"/>
      </bottom>
      <diagonal/>
    </border>
    <border>
      <left/>
      <right/>
      <top/>
      <bottom style="hair">
        <color auto="1"/>
      </bottom>
      <diagonal/>
    </border>
    <border>
      <left style="hair">
        <color auto="1"/>
      </left>
      <right/>
      <top style="hair">
        <color auto="1"/>
      </top>
      <bottom style="double">
        <color indexed="64"/>
      </bottom>
      <diagonal/>
    </border>
    <border>
      <left/>
      <right/>
      <top style="hair">
        <color auto="1"/>
      </top>
      <bottom style="thin">
        <color auto="1"/>
      </bottom>
      <diagonal/>
    </border>
    <border>
      <left/>
      <right style="hair">
        <color auto="1"/>
      </right>
      <top style="hair">
        <color auto="1"/>
      </top>
      <bottom style="thin">
        <color auto="1"/>
      </bottom>
      <diagonal/>
    </border>
    <border>
      <left style="hair">
        <color indexed="64"/>
      </left>
      <right/>
      <top style="hair">
        <color auto="1"/>
      </top>
      <bottom style="thin">
        <color auto="1"/>
      </bottom>
      <diagonal/>
    </border>
    <border>
      <left/>
      <right style="hair">
        <color auto="1"/>
      </right>
      <top style="thin">
        <color auto="1"/>
      </top>
      <bottom style="hair">
        <color auto="1"/>
      </bottom>
      <diagonal/>
    </border>
    <border>
      <left/>
      <right style="hair">
        <color auto="1"/>
      </right>
      <top/>
      <bottom style="thin">
        <color auto="1"/>
      </bottom>
      <diagonal/>
    </border>
    <border>
      <left style="hair">
        <color auto="1"/>
      </left>
      <right style="double">
        <color auto="1"/>
      </right>
      <top style="double">
        <color auto="1"/>
      </top>
      <bottom style="thin">
        <color auto="1"/>
      </bottom>
      <diagonal/>
    </border>
    <border>
      <left/>
      <right style="hair">
        <color auto="1"/>
      </right>
      <top style="double">
        <color auto="1"/>
      </top>
      <bottom style="thin">
        <color auto="1"/>
      </bottom>
      <diagonal/>
    </border>
    <border>
      <left style="hair">
        <color auto="1"/>
      </left>
      <right style="double">
        <color auto="1"/>
      </right>
      <top style="thin">
        <color auto="1"/>
      </top>
      <bottom style="hair">
        <color auto="1"/>
      </bottom>
      <diagonal/>
    </border>
    <border>
      <left style="hair">
        <color auto="1"/>
      </left>
      <right style="double">
        <color auto="1"/>
      </right>
      <top/>
      <bottom style="hair">
        <color indexed="64"/>
      </bottom>
      <diagonal/>
    </border>
    <border>
      <left style="double">
        <color auto="1"/>
      </left>
      <right style="double">
        <color auto="1"/>
      </right>
      <top style="hair">
        <color auto="1"/>
      </top>
      <bottom style="double">
        <color auto="1"/>
      </bottom>
      <diagonal/>
    </border>
    <border>
      <left/>
      <right style="hair">
        <color indexed="64"/>
      </right>
      <top style="hair">
        <color auto="1"/>
      </top>
      <bottom style="double">
        <color indexed="64"/>
      </bottom>
      <diagonal/>
    </border>
    <border>
      <left style="double">
        <color indexed="64"/>
      </left>
      <right style="double">
        <color indexed="64"/>
      </right>
      <top style="hair">
        <color indexed="64"/>
      </top>
      <bottom style="hair">
        <color indexed="64"/>
      </bottom>
      <diagonal/>
    </border>
    <border>
      <left style="double">
        <color auto="1"/>
      </left>
      <right/>
      <top style="double">
        <color auto="1"/>
      </top>
      <bottom style="double">
        <color auto="1"/>
      </bottom>
      <diagonal/>
    </border>
    <border>
      <left style="double">
        <color indexed="64"/>
      </left>
      <right style="double">
        <color indexed="64"/>
      </right>
      <top style="double">
        <color indexed="64"/>
      </top>
      <bottom style="double">
        <color auto="1"/>
      </bottom>
      <diagonal/>
    </border>
    <border>
      <left style="double">
        <color indexed="64"/>
      </left>
      <right style="double">
        <color indexed="64"/>
      </right>
      <top style="double">
        <color indexed="64"/>
      </top>
      <bottom style="hair">
        <color indexed="64"/>
      </bottom>
      <diagonal/>
    </border>
    <border>
      <left style="double">
        <color indexed="64"/>
      </left>
      <right style="double">
        <color indexed="64"/>
      </right>
      <top/>
      <bottom style="hair">
        <color auto="1"/>
      </bottom>
      <diagonal/>
    </border>
    <border>
      <left style="double">
        <color indexed="64"/>
      </left>
      <right style="double">
        <color indexed="64"/>
      </right>
      <top/>
      <bottom style="double">
        <color auto="1"/>
      </bottom>
      <diagonal/>
    </border>
    <border>
      <left style="double">
        <color auto="1"/>
      </left>
      <right/>
      <top style="double">
        <color auto="1"/>
      </top>
      <bottom style="hair">
        <color auto="1"/>
      </bottom>
      <diagonal/>
    </border>
    <border>
      <left/>
      <right/>
      <top style="double">
        <color auto="1"/>
      </top>
      <bottom style="hair">
        <color auto="1"/>
      </bottom>
      <diagonal/>
    </border>
    <border>
      <left/>
      <right style="double">
        <color indexed="64"/>
      </right>
      <top style="double">
        <color auto="1"/>
      </top>
      <bottom style="hair">
        <color auto="1"/>
      </bottom>
      <diagonal/>
    </border>
    <border>
      <left style="hair">
        <color indexed="64"/>
      </left>
      <right/>
      <top style="hair">
        <color indexed="64"/>
      </top>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hair">
        <color auto="1"/>
      </top>
      <bottom style="hair">
        <color auto="1"/>
      </bottom>
      <diagonal/>
    </border>
    <border>
      <left style="double">
        <color auto="1"/>
      </left>
      <right/>
      <top style="double">
        <color auto="1"/>
      </top>
      <bottom style="thin">
        <color auto="1"/>
      </bottom>
      <diagonal/>
    </border>
    <border>
      <left style="hair">
        <color auto="1"/>
      </left>
      <right style="hair">
        <color auto="1"/>
      </right>
      <top/>
      <bottom style="double">
        <color auto="1"/>
      </bottom>
      <diagonal/>
    </border>
    <border>
      <left style="dashed">
        <color auto="1"/>
      </left>
      <right style="hair">
        <color auto="1"/>
      </right>
      <top style="hair">
        <color auto="1"/>
      </top>
      <bottom style="double">
        <color auto="1"/>
      </bottom>
      <diagonal/>
    </border>
    <border>
      <left style="dashed">
        <color auto="1"/>
      </left>
      <right style="hair">
        <color auto="1"/>
      </right>
      <top/>
      <bottom style="hair">
        <color auto="1"/>
      </bottom>
      <diagonal/>
    </border>
    <border>
      <left style="dashed">
        <color auto="1"/>
      </left>
      <right style="hair">
        <color auto="1"/>
      </right>
      <top style="thin">
        <color auto="1"/>
      </top>
      <bottom style="hair">
        <color auto="1"/>
      </bottom>
      <diagonal/>
    </border>
    <border>
      <left/>
      <right/>
      <top/>
      <bottom style="double">
        <color auto="1"/>
      </bottom>
      <diagonal/>
    </border>
    <border>
      <left style="hair">
        <color auto="1"/>
      </left>
      <right style="double">
        <color auto="1"/>
      </right>
      <top/>
      <bottom/>
      <diagonal/>
    </border>
    <border>
      <left style="thin">
        <color auto="1"/>
      </left>
      <right style="hair">
        <color auto="1"/>
      </right>
      <top style="hair">
        <color indexed="64"/>
      </top>
      <bottom style="hair">
        <color indexed="64"/>
      </bottom>
      <diagonal/>
    </border>
    <border>
      <left style="hair">
        <color auto="1"/>
      </left>
      <right style="thin">
        <color auto="1"/>
      </right>
      <top style="hair">
        <color indexed="64"/>
      </top>
      <bottom style="hair">
        <color indexed="64"/>
      </bottom>
      <diagonal/>
    </border>
    <border>
      <left style="thin">
        <color auto="1"/>
      </left>
      <right style="hair">
        <color auto="1"/>
      </right>
      <top style="hair">
        <color indexed="64"/>
      </top>
      <bottom style="double">
        <color indexed="64"/>
      </bottom>
      <diagonal/>
    </border>
    <border>
      <left style="hair">
        <color auto="1"/>
      </left>
      <right style="thin">
        <color auto="1"/>
      </right>
      <top style="hair">
        <color indexed="64"/>
      </top>
      <bottom style="double">
        <color indexed="64"/>
      </bottom>
      <diagonal/>
    </border>
    <border>
      <left/>
      <right style="double">
        <color auto="1"/>
      </right>
      <top/>
      <bottom style="hair">
        <color indexed="64"/>
      </bottom>
      <diagonal/>
    </border>
    <border>
      <left/>
      <right style="double">
        <color indexed="64"/>
      </right>
      <top style="hair">
        <color indexed="64"/>
      </top>
      <bottom style="hair">
        <color indexed="64"/>
      </bottom>
      <diagonal/>
    </border>
    <border>
      <left/>
      <right style="double">
        <color indexed="64"/>
      </right>
      <top style="hair">
        <color indexed="64"/>
      </top>
      <bottom style="double">
        <color indexed="64"/>
      </bottom>
      <diagonal/>
    </border>
    <border>
      <left style="double">
        <color auto="1"/>
      </left>
      <right/>
      <top/>
      <bottom style="thin">
        <color auto="1"/>
      </bottom>
      <diagonal/>
    </border>
    <border>
      <left/>
      <right/>
      <top/>
      <bottom style="thin">
        <color auto="1"/>
      </bottom>
      <diagonal/>
    </border>
    <border>
      <left style="thin">
        <color auto="1"/>
      </left>
      <right style="hair">
        <color auto="1"/>
      </right>
      <top/>
      <bottom style="thin">
        <color auto="1"/>
      </bottom>
      <diagonal/>
    </border>
    <border>
      <left style="hair">
        <color auto="1"/>
      </left>
      <right style="hair">
        <color auto="1"/>
      </right>
      <top/>
      <bottom style="thin">
        <color auto="1"/>
      </bottom>
      <diagonal/>
    </border>
    <border>
      <left style="hair">
        <color auto="1"/>
      </left>
      <right style="thin">
        <color auto="1"/>
      </right>
      <top/>
      <bottom style="thin">
        <color auto="1"/>
      </bottom>
      <diagonal/>
    </border>
    <border>
      <left style="hair">
        <color auto="1"/>
      </left>
      <right/>
      <top/>
      <bottom style="thin">
        <color auto="1"/>
      </bottom>
      <diagonal/>
    </border>
    <border>
      <left/>
      <right style="double">
        <color auto="1"/>
      </right>
      <top/>
      <bottom style="thin">
        <color auto="1"/>
      </bottom>
      <diagonal/>
    </border>
    <border>
      <left style="thin">
        <color auto="1"/>
      </left>
      <right style="hair">
        <color auto="1"/>
      </right>
      <top/>
      <bottom style="hair">
        <color indexed="64"/>
      </bottom>
      <diagonal/>
    </border>
    <border>
      <left style="hair">
        <color auto="1"/>
      </left>
      <right style="thin">
        <color auto="1"/>
      </right>
      <top/>
      <bottom style="hair">
        <color indexed="64"/>
      </bottom>
      <diagonal/>
    </border>
    <border>
      <left style="hair">
        <color auto="1"/>
      </left>
      <right style="double">
        <color auto="1"/>
      </right>
      <top/>
      <bottom style="thin">
        <color auto="1"/>
      </bottom>
      <diagonal/>
    </border>
  </borders>
  <cellStyleXfs count="2">
    <xf numFmtId="0" fontId="0" fillId="0" borderId="0"/>
    <xf numFmtId="0" fontId="50" fillId="0" borderId="0" applyNumberFormat="0" applyFill="0" applyBorder="0" applyAlignment="0" applyProtection="0"/>
  </cellStyleXfs>
  <cellXfs count="420">
    <xf numFmtId="0" fontId="0" fillId="0" borderId="0" xfId="0"/>
    <xf numFmtId="49" fontId="59" fillId="0" borderId="80" xfId="0" applyNumberFormat="1" applyFont="1" applyBorder="1" applyAlignment="1">
      <alignment horizontal="left" vertical="center"/>
    </xf>
    <xf numFmtId="49" fontId="57" fillId="0" borderId="80" xfId="0" applyNumberFormat="1" applyFont="1" applyBorder="1" applyAlignment="1">
      <alignment vertical="center"/>
    </xf>
    <xf numFmtId="49" fontId="60" fillId="0" borderId="80" xfId="0" applyNumberFormat="1" applyFont="1" applyBorder="1" applyAlignment="1">
      <alignment horizontal="right" vertical="center"/>
    </xf>
    <xf numFmtId="49" fontId="60" fillId="0" borderId="0" xfId="0" applyNumberFormat="1" applyFont="1" applyBorder="1" applyAlignment="1">
      <alignment vertical="center"/>
    </xf>
    <xf numFmtId="49" fontId="57" fillId="0" borderId="0" xfId="0" applyNumberFormat="1" applyFont="1" applyAlignment="1">
      <alignment vertical="center"/>
    </xf>
    <xf numFmtId="49" fontId="25" fillId="0" borderId="0" xfId="0" applyNumberFormat="1" applyFont="1" applyAlignment="1">
      <alignment vertical="center"/>
    </xf>
    <xf numFmtId="49" fontId="0" fillId="0" borderId="0" xfId="0" applyNumberFormat="1" applyFont="1"/>
    <xf numFmtId="49" fontId="54" fillId="0" borderId="0" xfId="0" applyNumberFormat="1" applyFont="1" applyAlignment="1">
      <alignment vertical="center"/>
    </xf>
    <xf numFmtId="49" fontId="18" fillId="0" borderId="0" xfId="0" applyNumberFormat="1" applyFont="1" applyAlignment="1">
      <alignment horizontal="left"/>
    </xf>
    <xf numFmtId="49" fontId="5" fillId="0" borderId="0" xfId="0" applyNumberFormat="1" applyFont="1" applyAlignment="1">
      <alignment horizontal="center"/>
    </xf>
    <xf numFmtId="49" fontId="0" fillId="0" borderId="0" xfId="0" applyNumberFormat="1" applyFont="1" applyAlignment="1">
      <alignment vertical="center"/>
    </xf>
    <xf numFmtId="49" fontId="52" fillId="0" borderId="0" xfId="0" applyNumberFormat="1" applyFont="1"/>
    <xf numFmtId="49" fontId="43" fillId="0" borderId="44" xfId="0" applyNumberFormat="1" applyFont="1" applyBorder="1"/>
    <xf numFmtId="49" fontId="43" fillId="0" borderId="0" xfId="0" applyNumberFormat="1" applyFont="1"/>
    <xf numFmtId="49" fontId="0" fillId="0" borderId="74" xfId="0" applyNumberFormat="1" applyFont="1" applyBorder="1"/>
    <xf numFmtId="49" fontId="0" fillId="0" borderId="74" xfId="0" applyNumberFormat="1" applyFont="1" applyBorder="1" applyAlignment="1">
      <alignment horizontal="right"/>
    </xf>
    <xf numFmtId="49" fontId="0" fillId="0" borderId="44" xfId="0" applyNumberFormat="1" applyFont="1" applyBorder="1"/>
    <xf numFmtId="49" fontId="0" fillId="0" borderId="44" xfId="0" applyNumberFormat="1" applyFont="1" applyBorder="1" applyAlignment="1">
      <alignment horizontal="right"/>
    </xf>
    <xf numFmtId="49" fontId="50" fillId="0" borderId="0" xfId="1" applyNumberFormat="1"/>
    <xf numFmtId="49" fontId="0" fillId="0" borderId="0" xfId="0" quotePrefix="1" applyNumberFormat="1" applyFont="1"/>
    <xf numFmtId="49" fontId="0" fillId="0" borderId="0" xfId="0" applyNumberFormat="1" applyFont="1" applyAlignment="1">
      <alignment horizontal="center"/>
    </xf>
    <xf numFmtId="49" fontId="59" fillId="0" borderId="80" xfId="0" applyNumberFormat="1" applyFont="1" applyBorder="1" applyAlignment="1" applyProtection="1">
      <alignment horizontal="left" vertical="center"/>
    </xf>
    <xf numFmtId="49" fontId="59" fillId="0" borderId="80" xfId="0" applyNumberFormat="1" applyFont="1" applyBorder="1" applyAlignment="1" applyProtection="1">
      <alignment horizontal="center" vertical="center"/>
    </xf>
    <xf numFmtId="49" fontId="60" fillId="0" borderId="80" xfId="0" applyNumberFormat="1" applyFont="1" applyBorder="1" applyAlignment="1" applyProtection="1">
      <alignment horizontal="right" vertical="center"/>
    </xf>
    <xf numFmtId="49" fontId="60" fillId="0" borderId="0" xfId="0" applyNumberFormat="1" applyFont="1" applyBorder="1" applyAlignment="1" applyProtection="1">
      <alignment horizontal="right" vertical="center"/>
    </xf>
    <xf numFmtId="49" fontId="60" fillId="0" borderId="0" xfId="0" applyNumberFormat="1" applyFont="1" applyAlignment="1" applyProtection="1">
      <alignment horizontal="right" vertical="center"/>
    </xf>
    <xf numFmtId="49" fontId="58" fillId="0" borderId="0" xfId="0" applyNumberFormat="1" applyFont="1" applyAlignment="1" applyProtection="1">
      <alignment vertical="center"/>
    </xf>
    <xf numFmtId="49" fontId="0" fillId="0" borderId="0" xfId="0" applyNumberFormat="1" applyAlignment="1" applyProtection="1">
      <alignment vertical="center"/>
    </xf>
    <xf numFmtId="49" fontId="7" fillId="0" borderId="0" xfId="0" applyNumberFormat="1" applyFont="1" applyFill="1" applyAlignment="1" applyProtection="1"/>
    <xf numFmtId="49" fontId="0" fillId="0" borderId="0" xfId="0" applyNumberFormat="1" applyAlignment="1" applyProtection="1">
      <alignment horizontal="center" vertical="center"/>
    </xf>
    <xf numFmtId="49" fontId="9" fillId="0" borderId="0" xfId="0" applyNumberFormat="1" applyFont="1" applyAlignment="1" applyProtection="1">
      <alignment horizontal="right"/>
    </xf>
    <xf numFmtId="49" fontId="0" fillId="0" borderId="0" xfId="0" applyNumberFormat="1" applyProtection="1"/>
    <xf numFmtId="49" fontId="28" fillId="3" borderId="38" xfId="0" applyNumberFormat="1" applyFont="1" applyFill="1" applyBorder="1" applyAlignment="1" applyProtection="1"/>
    <xf numFmtId="49" fontId="0" fillId="3" borderId="38" xfId="0" applyNumberFormat="1" applyFill="1" applyBorder="1" applyProtection="1"/>
    <xf numFmtId="49" fontId="12" fillId="3" borderId="38" xfId="0" applyNumberFormat="1" applyFont="1" applyFill="1" applyBorder="1" applyAlignment="1" applyProtection="1">
      <alignment horizontal="right"/>
    </xf>
    <xf numFmtId="49" fontId="12" fillId="0" borderId="0" xfId="0" applyNumberFormat="1" applyFont="1" applyAlignment="1" applyProtection="1">
      <alignment horizontal="right"/>
    </xf>
    <xf numFmtId="49" fontId="0" fillId="0" borderId="32" xfId="0" applyNumberFormat="1" applyFont="1" applyBorder="1" applyAlignment="1" applyProtection="1">
      <alignment horizontal="center" vertical="center"/>
    </xf>
    <xf numFmtId="49" fontId="0" fillId="0" borderId="0" xfId="0" applyNumberFormat="1" applyProtection="1">
      <protection locked="0"/>
    </xf>
    <xf numFmtId="49" fontId="0" fillId="0" borderId="47" xfId="0" applyNumberFormat="1" applyFont="1" applyBorder="1" applyAlignment="1" applyProtection="1">
      <alignment horizontal="center" vertical="center"/>
    </xf>
    <xf numFmtId="49" fontId="0" fillId="0" borderId="49" xfId="0" applyNumberFormat="1" applyFont="1" applyBorder="1" applyAlignment="1" applyProtection="1">
      <alignment horizontal="center" vertical="center"/>
    </xf>
    <xf numFmtId="49" fontId="0" fillId="0" borderId="50" xfId="0" applyNumberFormat="1" applyFont="1" applyBorder="1" applyAlignment="1" applyProtection="1">
      <alignment horizontal="center" vertical="center"/>
    </xf>
    <xf numFmtId="49" fontId="0" fillId="0" borderId="0" xfId="0" applyNumberFormat="1" applyFont="1" applyBorder="1" applyAlignment="1" applyProtection="1">
      <alignment horizontal="right" vertical="top"/>
    </xf>
    <xf numFmtId="49" fontId="27" fillId="0" borderId="0" xfId="0" applyNumberFormat="1" applyFont="1" applyBorder="1" applyAlignment="1" applyProtection="1"/>
    <xf numFmtId="49" fontId="0" fillId="0" borderId="0" xfId="0" applyNumberFormat="1"/>
    <xf numFmtId="49" fontId="51" fillId="0" borderId="0" xfId="0" applyNumberFormat="1" applyFont="1" applyAlignment="1" applyProtection="1">
      <alignment horizontal="right"/>
    </xf>
    <xf numFmtId="49" fontId="0" fillId="0" borderId="0" xfId="0" applyNumberFormat="1" applyAlignment="1">
      <alignment vertical="top"/>
    </xf>
    <xf numFmtId="49" fontId="0" fillId="5" borderId="73" xfId="0" applyNumberFormat="1" applyFill="1" applyBorder="1" applyAlignment="1">
      <alignment vertical="top"/>
    </xf>
    <xf numFmtId="49" fontId="42" fillId="0" borderId="73" xfId="0" applyNumberFormat="1" applyFont="1" applyBorder="1" applyAlignment="1">
      <alignment vertical="top"/>
    </xf>
    <xf numFmtId="49" fontId="43" fillId="0" borderId="0" xfId="0" applyNumberFormat="1" applyFont="1" applyAlignment="1">
      <alignment vertical="top"/>
    </xf>
    <xf numFmtId="49" fontId="0" fillId="0" borderId="73" xfId="0" applyNumberFormat="1" applyBorder="1" applyAlignment="1">
      <alignment vertical="top" wrapText="1"/>
    </xf>
    <xf numFmtId="49" fontId="44" fillId="0" borderId="73" xfId="0" applyNumberFormat="1" applyFont="1" applyBorder="1" applyAlignment="1">
      <alignment vertical="top" wrapText="1"/>
    </xf>
    <xf numFmtId="49" fontId="32" fillId="0" borderId="0" xfId="0" applyNumberFormat="1" applyFont="1" applyBorder="1" applyAlignment="1">
      <alignment vertical="top"/>
    </xf>
    <xf numFmtId="49" fontId="32" fillId="0" borderId="73" xfId="0" applyNumberFormat="1" applyFont="1" applyBorder="1" applyAlignment="1">
      <alignment vertical="top"/>
    </xf>
    <xf numFmtId="49" fontId="1" fillId="0" borderId="73" xfId="0" quotePrefix="1" applyNumberFormat="1" applyFont="1" applyBorder="1" applyAlignment="1">
      <alignment vertical="top"/>
    </xf>
    <xf numFmtId="49" fontId="1" fillId="0" borderId="73" xfId="0" applyNumberFormat="1" applyFont="1" applyBorder="1" applyAlignment="1">
      <alignment vertical="top"/>
    </xf>
    <xf numFmtId="49" fontId="1" fillId="0" borderId="0" xfId="0" applyNumberFormat="1" applyFont="1" applyBorder="1" applyAlignment="1">
      <alignment vertical="top"/>
    </xf>
    <xf numFmtId="49" fontId="1" fillId="0" borderId="73" xfId="0" applyNumberFormat="1" applyFont="1" applyBorder="1" applyAlignment="1">
      <alignment vertical="top" wrapText="1"/>
    </xf>
    <xf numFmtId="49" fontId="1" fillId="0" borderId="0" xfId="0" applyNumberFormat="1" applyFont="1" applyAlignment="1">
      <alignment vertical="top"/>
    </xf>
    <xf numFmtId="49" fontId="0" fillId="0" borderId="0" xfId="0" applyNumberFormat="1" applyBorder="1" applyAlignment="1">
      <alignment vertical="top"/>
    </xf>
    <xf numFmtId="49" fontId="1" fillId="5" borderId="73" xfId="0" applyNumberFormat="1" applyFont="1" applyFill="1" applyBorder="1" applyAlignment="1">
      <alignment vertical="top"/>
    </xf>
    <xf numFmtId="49" fontId="18" fillId="0" borderId="0" xfId="0" applyNumberFormat="1" applyFont="1" applyBorder="1" applyAlignment="1">
      <alignment vertical="top"/>
    </xf>
    <xf numFmtId="49" fontId="6" fillId="0" borderId="0" xfId="0" applyNumberFormat="1" applyFont="1" applyBorder="1" applyAlignment="1">
      <alignment vertical="top"/>
    </xf>
    <xf numFmtId="49" fontId="5" fillId="0" borderId="73" xfId="0" applyNumberFormat="1" applyFont="1" applyBorder="1" applyAlignment="1">
      <alignment vertical="top"/>
    </xf>
    <xf numFmtId="49" fontId="5" fillId="0" borderId="0" xfId="0" applyNumberFormat="1" applyFont="1" applyBorder="1" applyAlignment="1">
      <alignment vertical="top"/>
    </xf>
    <xf numFmtId="49" fontId="0" fillId="0" borderId="73" xfId="0" applyNumberFormat="1" applyFont="1" applyBorder="1" applyAlignment="1">
      <alignment vertical="top"/>
    </xf>
    <xf numFmtId="49" fontId="50" fillId="0" borderId="73" xfId="1" applyNumberFormat="1" applyBorder="1" applyAlignment="1">
      <alignment vertical="top"/>
    </xf>
    <xf numFmtId="49" fontId="1" fillId="0" borderId="0" xfId="0" applyNumberFormat="1" applyFont="1" applyAlignment="1">
      <alignment vertical="top" wrapText="1"/>
    </xf>
    <xf numFmtId="49" fontId="53" fillId="0" borderId="0" xfId="0" applyNumberFormat="1" applyFont="1" applyAlignment="1">
      <alignment horizontal="right" vertical="top"/>
    </xf>
    <xf numFmtId="49" fontId="60" fillId="0" borderId="0" xfId="0" applyNumberFormat="1" applyFont="1" applyAlignment="1">
      <alignment horizontal="right" vertical="top"/>
    </xf>
    <xf numFmtId="49" fontId="1" fillId="0" borderId="0" xfId="0" applyNumberFormat="1" applyFont="1" applyBorder="1" applyAlignment="1">
      <alignment horizontal="right" vertical="top"/>
    </xf>
    <xf numFmtId="49" fontId="1" fillId="0" borderId="0" xfId="0" quotePrefix="1" applyNumberFormat="1" applyFont="1" applyBorder="1" applyAlignment="1">
      <alignment vertical="top"/>
    </xf>
    <xf numFmtId="49" fontId="6" fillId="0" borderId="0" xfId="0" applyNumberFormat="1" applyFont="1" applyAlignment="1">
      <alignment vertical="top"/>
    </xf>
    <xf numFmtId="49" fontId="59" fillId="0" borderId="80" xfId="0" applyNumberFormat="1" applyFont="1" applyFill="1" applyBorder="1" applyAlignment="1" applyProtection="1">
      <alignment horizontal="left" vertical="center" wrapText="1"/>
    </xf>
    <xf numFmtId="49" fontId="59" fillId="0" borderId="80" xfId="0" applyNumberFormat="1" applyFont="1" applyFill="1" applyBorder="1" applyAlignment="1" applyProtection="1">
      <alignment horizontal="right" vertical="center" wrapText="1"/>
    </xf>
    <xf numFmtId="49" fontId="31" fillId="0" borderId="80" xfId="0" applyNumberFormat="1" applyFont="1" applyBorder="1" applyAlignment="1" applyProtection="1">
      <alignment horizontal="right" vertical="center"/>
    </xf>
    <xf numFmtId="49" fontId="25" fillId="0" borderId="0" xfId="0" applyNumberFormat="1" applyFont="1" applyBorder="1" applyAlignment="1" applyProtection="1">
      <alignment horizontal="right" vertical="center"/>
    </xf>
    <xf numFmtId="49" fontId="25" fillId="0" borderId="0" xfId="0" applyNumberFormat="1" applyFont="1" applyAlignment="1" applyProtection="1">
      <alignment horizontal="right" vertical="center"/>
    </xf>
    <xf numFmtId="49" fontId="36" fillId="0" borderId="0" xfId="0" applyNumberFormat="1" applyFont="1" applyFill="1" applyBorder="1" applyAlignment="1" applyProtection="1">
      <alignment vertical="center" wrapText="1"/>
    </xf>
    <xf numFmtId="49" fontId="31" fillId="0" borderId="0" xfId="0" applyNumberFormat="1" applyFont="1" applyFill="1" applyBorder="1" applyAlignment="1" applyProtection="1">
      <alignment horizontal="right" vertical="center" wrapText="1"/>
    </xf>
    <xf numFmtId="49" fontId="31" fillId="0" borderId="0" xfId="0" applyNumberFormat="1" applyFont="1" applyBorder="1" applyAlignment="1" applyProtection="1">
      <alignment horizontal="right" vertical="center"/>
    </xf>
    <xf numFmtId="49" fontId="11" fillId="0" borderId="0" xfId="0" applyNumberFormat="1" applyFont="1" applyBorder="1" applyProtection="1"/>
    <xf numFmtId="49" fontId="6" fillId="0" borderId="0" xfId="0" applyNumberFormat="1" applyFont="1" applyBorder="1" applyProtection="1"/>
    <xf numFmtId="49" fontId="6" fillId="0" borderId="0" xfId="0" applyNumberFormat="1" applyFont="1" applyBorder="1"/>
    <xf numFmtId="49" fontId="6" fillId="0" borderId="0" xfId="0" applyNumberFormat="1" applyFont="1"/>
    <xf numFmtId="49" fontId="0" fillId="0" borderId="0" xfId="0" applyNumberFormat="1" applyBorder="1" applyAlignment="1" applyProtection="1"/>
    <xf numFmtId="49" fontId="0" fillId="0" borderId="0" xfId="0" applyNumberFormat="1" applyBorder="1" applyProtection="1"/>
    <xf numFmtId="49" fontId="0" fillId="0" borderId="0" xfId="0" applyNumberFormat="1" applyBorder="1"/>
    <xf numFmtId="49" fontId="12" fillId="0" borderId="0" xfId="0" applyNumberFormat="1" applyFont="1" applyBorder="1" applyProtection="1"/>
    <xf numFmtId="49" fontId="14" fillId="0" borderId="0" xfId="0" applyNumberFormat="1" applyFont="1" applyAlignment="1" applyProtection="1">
      <alignment horizontal="left"/>
    </xf>
    <xf numFmtId="49" fontId="15" fillId="0" borderId="0" xfId="0" applyNumberFormat="1" applyFont="1" applyProtection="1"/>
    <xf numFmtId="49" fontId="15" fillId="0" borderId="0" xfId="0" applyNumberFormat="1" applyFont="1"/>
    <xf numFmtId="49" fontId="14" fillId="3" borderId="15" xfId="0" applyNumberFormat="1" applyFont="1" applyFill="1" applyBorder="1" applyAlignment="1" applyProtection="1">
      <alignment horizontal="left" vertical="top"/>
    </xf>
    <xf numFmtId="49" fontId="14" fillId="3" borderId="16" xfId="0" applyNumberFormat="1" applyFont="1" applyFill="1" applyBorder="1" applyAlignment="1" applyProtection="1">
      <alignment horizontal="left" vertical="top"/>
    </xf>
    <xf numFmtId="49" fontId="14" fillId="3" borderId="16" xfId="0" applyNumberFormat="1" applyFont="1" applyFill="1" applyBorder="1" applyAlignment="1">
      <alignment horizontal="left" vertical="top" wrapText="1"/>
    </xf>
    <xf numFmtId="49" fontId="14" fillId="3" borderId="17" xfId="0" applyNumberFormat="1" applyFont="1" applyFill="1" applyBorder="1" applyAlignment="1">
      <alignment horizontal="left" vertical="top" wrapText="1"/>
    </xf>
    <xf numFmtId="49" fontId="15" fillId="0" borderId="0" xfId="0" applyNumberFormat="1" applyFont="1" applyFill="1" applyBorder="1"/>
    <xf numFmtId="49" fontId="15" fillId="0" borderId="3" xfId="0" applyNumberFormat="1" applyFont="1" applyBorder="1" applyProtection="1"/>
    <xf numFmtId="49" fontId="15" fillId="0" borderId="4" xfId="0" applyNumberFormat="1" applyFont="1" applyBorder="1" applyProtection="1"/>
    <xf numFmtId="49" fontId="15" fillId="0" borderId="19" xfId="0" applyNumberFormat="1" applyFont="1" applyBorder="1"/>
    <xf numFmtId="49" fontId="15" fillId="0" borderId="5" xfId="0" applyNumberFormat="1" applyFont="1" applyBorder="1"/>
    <xf numFmtId="49" fontId="15" fillId="0" borderId="6" xfId="0" applyNumberFormat="1" applyFont="1" applyBorder="1" applyProtection="1"/>
    <xf numFmtId="49" fontId="15" fillId="0" borderId="7" xfId="0" applyNumberFormat="1" applyFont="1" applyBorder="1" applyProtection="1"/>
    <xf numFmtId="49" fontId="15" fillId="0" borderId="23" xfId="0" applyNumberFormat="1" applyFont="1" applyBorder="1"/>
    <xf numFmtId="49" fontId="15" fillId="0" borderId="8" xfId="0" applyNumberFormat="1" applyFont="1" applyBorder="1"/>
    <xf numFmtId="49" fontId="15" fillId="0" borderId="10" xfId="0" applyNumberFormat="1" applyFont="1" applyBorder="1" applyProtection="1"/>
    <xf numFmtId="49" fontId="15" fillId="0" borderId="66" xfId="0" applyNumberFormat="1" applyFont="1" applyBorder="1"/>
    <xf numFmtId="49" fontId="15" fillId="0" borderId="12" xfId="0" applyNumberFormat="1" applyFont="1" applyBorder="1" applyProtection="1"/>
    <xf numFmtId="49" fontId="15" fillId="0" borderId="13" xfId="0" applyNumberFormat="1" applyFont="1" applyBorder="1" applyProtection="1"/>
    <xf numFmtId="49" fontId="15" fillId="0" borderId="45" xfId="0" applyNumberFormat="1" applyFont="1" applyBorder="1"/>
    <xf numFmtId="49" fontId="15" fillId="0" borderId="14" xfId="0" applyNumberFormat="1" applyFont="1" applyBorder="1"/>
    <xf numFmtId="49" fontId="15" fillId="0" borderId="0" xfId="0" applyNumberFormat="1" applyFont="1" applyBorder="1" applyProtection="1"/>
    <xf numFmtId="49" fontId="15" fillId="0" borderId="0" xfId="0" applyNumberFormat="1" applyFont="1" applyBorder="1"/>
    <xf numFmtId="49" fontId="34" fillId="0" borderId="58" xfId="0" applyNumberFormat="1" applyFont="1" applyFill="1" applyBorder="1" applyAlignment="1" applyProtection="1">
      <alignment horizontal="left"/>
    </xf>
    <xf numFmtId="49" fontId="0" fillId="0" borderId="67" xfId="0" applyNumberFormat="1" applyBorder="1" applyAlignment="1" applyProtection="1">
      <alignment horizontal="center"/>
    </xf>
    <xf numFmtId="49" fontId="0" fillId="0" borderId="67" xfId="0" applyNumberFormat="1" applyBorder="1" applyAlignment="1">
      <alignment horizontal="center"/>
    </xf>
    <xf numFmtId="49" fontId="0" fillId="0" borderId="69" xfId="0" applyNumberFormat="1" applyBorder="1" applyAlignment="1">
      <alignment horizontal="centerContinuous"/>
    </xf>
    <xf numFmtId="49" fontId="3" fillId="3" borderId="15" xfId="0" applyNumberFormat="1" applyFont="1" applyFill="1" applyBorder="1" applyAlignment="1" applyProtection="1">
      <alignment horizontal="left" vertical="top"/>
    </xf>
    <xf numFmtId="49" fontId="3" fillId="3" borderId="16" xfId="0" applyNumberFormat="1" applyFont="1" applyFill="1" applyBorder="1" applyAlignment="1" applyProtection="1">
      <alignment horizontal="left" vertical="top"/>
    </xf>
    <xf numFmtId="49" fontId="3" fillId="3" borderId="16" xfId="0" applyNumberFormat="1" applyFont="1" applyFill="1" applyBorder="1" applyAlignment="1">
      <alignment horizontal="left" vertical="top" wrapText="1"/>
    </xf>
    <xf numFmtId="49" fontId="3" fillId="3" borderId="17" xfId="0" applyNumberFormat="1" applyFont="1" applyFill="1" applyBorder="1" applyAlignment="1">
      <alignment horizontal="left" vertical="top" wrapText="1"/>
    </xf>
    <xf numFmtId="49" fontId="0" fillId="0" borderId="0" xfId="0" applyNumberFormat="1" applyFont="1" applyFill="1" applyBorder="1"/>
    <xf numFmtId="49" fontId="0" fillId="0" borderId="0" xfId="0" applyNumberFormat="1" applyFill="1" applyBorder="1"/>
    <xf numFmtId="49" fontId="1" fillId="0" borderId="43" xfId="0" applyNumberFormat="1" applyFont="1" applyBorder="1" applyProtection="1">
      <protection locked="0"/>
    </xf>
    <xf numFmtId="49" fontId="0" fillId="0" borderId="21" xfId="0" applyNumberFormat="1" applyBorder="1" applyAlignment="1" applyProtection="1">
      <alignment wrapText="1"/>
      <protection locked="0"/>
    </xf>
    <xf numFmtId="49" fontId="0" fillId="0" borderId="21" xfId="0" applyNumberFormat="1" applyFill="1" applyBorder="1" applyProtection="1">
      <protection locked="0"/>
    </xf>
    <xf numFmtId="49" fontId="0" fillId="0" borderId="54" xfId="0" applyNumberFormat="1" applyFill="1" applyBorder="1" applyProtection="1">
      <protection locked="0"/>
    </xf>
    <xf numFmtId="49" fontId="1" fillId="0" borderId="6" xfId="0" applyNumberFormat="1" applyFont="1" applyBorder="1" applyProtection="1">
      <protection locked="0"/>
    </xf>
    <xf numFmtId="49" fontId="0" fillId="0" borderId="7" xfId="0" applyNumberFormat="1" applyBorder="1" applyAlignment="1" applyProtection="1">
      <alignment wrapText="1"/>
      <protection locked="0"/>
    </xf>
    <xf numFmtId="49" fontId="0" fillId="0" borderId="7" xfId="0" applyNumberFormat="1" applyFill="1" applyBorder="1" applyProtection="1">
      <protection locked="0"/>
    </xf>
    <xf numFmtId="49" fontId="0" fillId="0" borderId="8" xfId="0" applyNumberFormat="1" applyFill="1" applyBorder="1" applyProtection="1">
      <protection locked="0"/>
    </xf>
    <xf numFmtId="49" fontId="0" fillId="0" borderId="7" xfId="0" applyNumberFormat="1" applyBorder="1" applyProtection="1">
      <protection locked="0"/>
    </xf>
    <xf numFmtId="49" fontId="0" fillId="0" borderId="8" xfId="0" applyNumberFormat="1" applyBorder="1" applyProtection="1">
      <protection locked="0"/>
    </xf>
    <xf numFmtId="49" fontId="1" fillId="0" borderId="12" xfId="0" applyNumberFormat="1" applyFont="1" applyBorder="1" applyProtection="1">
      <protection locked="0"/>
    </xf>
    <xf numFmtId="49" fontId="0" fillId="0" borderId="13" xfId="0" applyNumberFormat="1" applyBorder="1" applyAlignment="1" applyProtection="1">
      <alignment wrapText="1"/>
      <protection locked="0"/>
    </xf>
    <xf numFmtId="49" fontId="0" fillId="0" borderId="13" xfId="0" applyNumberFormat="1" applyBorder="1" applyProtection="1">
      <protection locked="0"/>
    </xf>
    <xf numFmtId="49" fontId="0" fillId="0" borderId="14" xfId="0" applyNumberFormat="1" applyBorder="1" applyProtection="1">
      <protection locked="0"/>
    </xf>
    <xf numFmtId="49" fontId="32" fillId="0" borderId="0" xfId="0" applyNumberFormat="1" applyFont="1" applyProtection="1"/>
    <xf numFmtId="49" fontId="0" fillId="0" borderId="0" xfId="0" applyNumberFormat="1" applyAlignment="1" applyProtection="1">
      <alignment wrapText="1"/>
    </xf>
    <xf numFmtId="49" fontId="59" fillId="0" borderId="38" xfId="0" applyNumberFormat="1" applyFont="1" applyBorder="1" applyAlignment="1">
      <alignment horizontal="left" vertical="center"/>
    </xf>
    <xf numFmtId="49" fontId="0" fillId="0" borderId="38" xfId="0" applyNumberFormat="1" applyBorder="1" applyAlignment="1">
      <alignment horizontal="left" vertical="center"/>
    </xf>
    <xf numFmtId="49" fontId="0" fillId="0" borderId="80" xfId="0" applyNumberFormat="1" applyBorder="1" applyAlignment="1">
      <alignment horizontal="left" vertical="center"/>
    </xf>
    <xf numFmtId="49" fontId="0" fillId="0" borderId="0" xfId="0" applyNumberFormat="1" applyAlignment="1">
      <alignment horizontal="left" vertical="center"/>
    </xf>
    <xf numFmtId="49" fontId="36" fillId="0" borderId="0" xfId="0" applyNumberFormat="1" applyFont="1" applyBorder="1" applyAlignment="1">
      <alignment horizontal="left" vertical="center"/>
    </xf>
    <xf numFmtId="49" fontId="0" fillId="0" borderId="0" xfId="0" applyNumberFormat="1" applyBorder="1" applyAlignment="1">
      <alignment horizontal="left" vertical="center"/>
    </xf>
    <xf numFmtId="49" fontId="31" fillId="0" borderId="0" xfId="0" applyNumberFormat="1" applyFont="1" applyBorder="1" applyAlignment="1">
      <alignment horizontal="right" vertical="center"/>
    </xf>
    <xf numFmtId="49" fontId="29" fillId="0" borderId="0" xfId="0" applyNumberFormat="1" applyFont="1" applyProtection="1"/>
    <xf numFmtId="49" fontId="6" fillId="0" borderId="0" xfId="0" applyNumberFormat="1" applyFont="1" applyProtection="1"/>
    <xf numFmtId="49" fontId="21" fillId="0" borderId="0" xfId="0" applyNumberFormat="1" applyFont="1" applyProtection="1"/>
    <xf numFmtId="49" fontId="0" fillId="0" borderId="0" xfId="0" quotePrefix="1" applyNumberFormat="1" applyProtection="1"/>
    <xf numFmtId="49" fontId="8" fillId="0" borderId="0" xfId="0" applyNumberFormat="1" applyFont="1" applyProtection="1"/>
    <xf numFmtId="49" fontId="25" fillId="0" borderId="0" xfId="0" applyNumberFormat="1" applyFont="1" applyProtection="1"/>
    <xf numFmtId="49" fontId="0" fillId="0" borderId="0" xfId="0" applyNumberFormat="1" applyFont="1" applyProtection="1"/>
    <xf numFmtId="49" fontId="6" fillId="0" borderId="0" xfId="0" quotePrefix="1" applyNumberFormat="1" applyFont="1" applyProtection="1"/>
    <xf numFmtId="49" fontId="56" fillId="0" borderId="63" xfId="0" applyNumberFormat="1" applyFont="1" applyBorder="1" applyAlignment="1" applyProtection="1">
      <alignment horizontal="left"/>
    </xf>
    <xf numFmtId="49" fontId="0" fillId="0" borderId="64" xfId="0" applyNumberFormat="1" applyBorder="1" applyAlignment="1" applyProtection="1">
      <alignment horizontal="left"/>
    </xf>
    <xf numFmtId="49" fontId="0" fillId="0" borderId="65" xfId="0" applyNumberFormat="1" applyBorder="1" applyAlignment="1" applyProtection="1">
      <alignment horizontal="left"/>
    </xf>
    <xf numFmtId="49" fontId="55" fillId="0" borderId="79" xfId="0" applyNumberFormat="1" applyFont="1" applyBorder="1" applyProtection="1"/>
    <xf numFmtId="49" fontId="55" fillId="0" borderId="54" xfId="0" applyNumberFormat="1" applyFont="1" applyBorder="1" applyProtection="1"/>
    <xf numFmtId="49" fontId="55" fillId="0" borderId="78" xfId="0" applyNumberFormat="1" applyFont="1" applyBorder="1" applyProtection="1"/>
    <xf numFmtId="49" fontId="55" fillId="0" borderId="8" xfId="0" applyNumberFormat="1" applyFont="1" applyBorder="1" applyProtection="1"/>
    <xf numFmtId="49" fontId="55" fillId="0" borderId="77" xfId="0" applyNumberFormat="1" applyFont="1" applyBorder="1" applyProtection="1"/>
    <xf numFmtId="49" fontId="55" fillId="0" borderId="14" xfId="0" applyNumberFormat="1" applyFont="1" applyBorder="1" applyProtection="1"/>
    <xf numFmtId="49" fontId="0" fillId="0" borderId="0" xfId="0" applyNumberFormat="1" applyAlignment="1" applyProtection="1">
      <alignment horizontal="left"/>
    </xf>
    <xf numFmtId="49" fontId="0" fillId="0" borderId="0" xfId="0" applyNumberFormat="1" applyAlignment="1" applyProtection="1">
      <alignment horizontal="center"/>
    </xf>
    <xf numFmtId="49" fontId="31" fillId="0" borderId="0" xfId="0" applyNumberFormat="1" applyFont="1" applyAlignment="1">
      <alignment horizontal="right"/>
    </xf>
    <xf numFmtId="49" fontId="0" fillId="0" borderId="80" xfId="0" applyNumberFormat="1" applyBorder="1" applyAlignment="1" applyProtection="1">
      <alignment vertical="center"/>
    </xf>
    <xf numFmtId="49" fontId="60" fillId="0" borderId="0" xfId="0" applyNumberFormat="1" applyFont="1" applyBorder="1" applyAlignment="1" applyProtection="1">
      <alignment vertical="center"/>
    </xf>
    <xf numFmtId="49" fontId="28" fillId="0" borderId="58" xfId="0" applyNumberFormat="1" applyFont="1" applyBorder="1" applyProtection="1">
      <protection locked="0"/>
    </xf>
    <xf numFmtId="49" fontId="61" fillId="0" borderId="67" xfId="0" applyNumberFormat="1" applyFont="1" applyBorder="1" applyProtection="1">
      <protection locked="0"/>
    </xf>
    <xf numFmtId="49" fontId="61" fillId="0" borderId="68" xfId="0" applyNumberFormat="1" applyFont="1" applyBorder="1" applyProtection="1">
      <protection locked="0"/>
    </xf>
    <xf numFmtId="49" fontId="8" fillId="0" borderId="75" xfId="0" applyNumberFormat="1" applyFont="1" applyBorder="1" applyAlignment="1" applyProtection="1">
      <alignment horizontal="center" vertical="center"/>
      <protection locked="0"/>
    </xf>
    <xf numFmtId="49" fontId="3" fillId="0" borderId="52" xfId="0" applyNumberFormat="1" applyFont="1" applyBorder="1" applyAlignment="1" applyProtection="1">
      <alignment horizontal="center" vertical="center"/>
      <protection locked="0"/>
    </xf>
    <xf numFmtId="49" fontId="3" fillId="0" borderId="51" xfId="0" applyNumberFormat="1" applyFont="1" applyBorder="1" applyAlignment="1" applyProtection="1">
      <alignment horizontal="center" vertical="center"/>
      <protection locked="0"/>
    </xf>
    <xf numFmtId="49" fontId="0" fillId="0" borderId="43" xfId="0" applyNumberFormat="1" applyBorder="1" applyProtection="1">
      <protection locked="0"/>
    </xf>
    <xf numFmtId="49" fontId="0" fillId="0" borderId="21" xfId="0" applyNumberFormat="1" applyBorder="1" applyProtection="1">
      <protection locked="0"/>
    </xf>
    <xf numFmtId="49" fontId="0" fillId="0" borderId="54" xfId="0" applyNumberFormat="1" applyBorder="1" applyProtection="1">
      <protection locked="0"/>
    </xf>
    <xf numFmtId="49" fontId="0" fillId="0" borderId="12" xfId="0" applyNumberFormat="1" applyBorder="1" applyProtection="1">
      <protection locked="0"/>
    </xf>
    <xf numFmtId="49" fontId="0" fillId="0" borderId="0" xfId="0" applyNumberFormat="1" applyBorder="1" applyProtection="1">
      <protection locked="0"/>
    </xf>
    <xf numFmtId="49" fontId="2" fillId="0" borderId="80" xfId="0" applyNumberFormat="1" applyFont="1" applyBorder="1" applyAlignment="1" applyProtection="1">
      <alignment vertical="center"/>
    </xf>
    <xf numFmtId="49" fontId="25" fillId="0" borderId="0" xfId="0" applyNumberFormat="1" applyFont="1" applyAlignment="1" applyProtection="1">
      <alignment vertical="center"/>
    </xf>
    <xf numFmtId="49" fontId="6" fillId="0" borderId="0" xfId="0" applyNumberFormat="1" applyFont="1" applyProtection="1">
      <protection locked="0"/>
    </xf>
    <xf numFmtId="49" fontId="14" fillId="3" borderId="1" xfId="0" applyNumberFormat="1" applyFont="1" applyFill="1" applyBorder="1" applyAlignment="1" applyProtection="1">
      <alignment horizontal="left" vertical="center"/>
    </xf>
    <xf numFmtId="49" fontId="14" fillId="3" borderId="2" xfId="0" applyNumberFormat="1" applyFont="1" applyFill="1" applyBorder="1" applyAlignment="1" applyProtection="1">
      <alignment horizontal="left" vertical="center" wrapText="1"/>
    </xf>
    <xf numFmtId="49" fontId="15" fillId="0" borderId="34" xfId="0" applyNumberFormat="1" applyFont="1" applyBorder="1" applyProtection="1"/>
    <xf numFmtId="49" fontId="15" fillId="0" borderId="35" xfId="0" applyNumberFormat="1" applyFont="1" applyBorder="1" applyProtection="1"/>
    <xf numFmtId="49" fontId="15" fillId="0" borderId="36" xfId="0" applyNumberFormat="1" applyFont="1" applyBorder="1" applyProtection="1"/>
    <xf numFmtId="49" fontId="15" fillId="0" borderId="37" xfId="0" applyNumberFormat="1" applyFont="1" applyBorder="1" applyProtection="1"/>
    <xf numFmtId="49" fontId="15" fillId="0" borderId="27" xfId="0" applyNumberFormat="1" applyFont="1" applyBorder="1" applyProtection="1"/>
    <xf numFmtId="49" fontId="15" fillId="0" borderId="28" xfId="0" applyNumberFormat="1" applyFont="1" applyBorder="1" applyProtection="1"/>
    <xf numFmtId="49" fontId="15" fillId="0" borderId="29" xfId="0" applyNumberFormat="1" applyFont="1" applyBorder="1" applyProtection="1"/>
    <xf numFmtId="49" fontId="15" fillId="0" borderId="30" xfId="0" applyNumberFormat="1" applyFont="1" applyBorder="1" applyProtection="1"/>
    <xf numFmtId="49" fontId="15" fillId="0" borderId="31" xfId="0" applyNumberFormat="1" applyFont="1" applyBorder="1" applyProtection="1"/>
    <xf numFmtId="49" fontId="23" fillId="0" borderId="0" xfId="0" applyNumberFormat="1" applyFont="1" applyProtection="1"/>
    <xf numFmtId="49" fontId="24" fillId="3" borderId="40" xfId="0" applyNumberFormat="1" applyFont="1" applyFill="1" applyBorder="1" applyAlignment="1" applyProtection="1">
      <alignment horizontal="center"/>
    </xf>
    <xf numFmtId="49" fontId="24" fillId="3" borderId="41" xfId="0" applyNumberFormat="1" applyFont="1" applyFill="1" applyBorder="1" applyProtection="1"/>
    <xf numFmtId="49" fontId="24" fillId="3" borderId="51" xfId="0" applyNumberFormat="1" applyFont="1" applyFill="1" applyBorder="1" applyAlignment="1" applyProtection="1"/>
    <xf numFmtId="49" fontId="0" fillId="2" borderId="21" xfId="0" applyNumberFormat="1" applyFont="1" applyFill="1" applyBorder="1" applyProtection="1"/>
    <xf numFmtId="49" fontId="30" fillId="2" borderId="53" xfId="0" applyNumberFormat="1" applyFont="1" applyFill="1" applyBorder="1" applyProtection="1"/>
    <xf numFmtId="49" fontId="0" fillId="2" borderId="7" xfId="0" applyNumberFormat="1" applyFont="1" applyFill="1" applyBorder="1" applyProtection="1"/>
    <xf numFmtId="49" fontId="30" fillId="2" borderId="8" xfId="0" applyNumberFormat="1" applyFont="1" applyFill="1" applyBorder="1" applyProtection="1"/>
    <xf numFmtId="49" fontId="0" fillId="0" borderId="43" xfId="0" applyNumberFormat="1" applyFont="1" applyBorder="1" applyAlignment="1" applyProtection="1">
      <alignment horizontal="center" vertical="center"/>
    </xf>
    <xf numFmtId="49" fontId="0" fillId="0" borderId="21" xfId="0" applyNumberFormat="1" applyFont="1" applyBorder="1" applyProtection="1">
      <protection locked="0"/>
    </xf>
    <xf numFmtId="49" fontId="30" fillId="0" borderId="54" xfId="0" applyNumberFormat="1" applyFont="1" applyBorder="1" applyProtection="1">
      <protection locked="0"/>
    </xf>
    <xf numFmtId="49" fontId="0" fillId="0" borderId="12" xfId="0" applyNumberFormat="1" applyFont="1" applyBorder="1" applyAlignment="1" applyProtection="1">
      <alignment horizontal="center" vertical="center"/>
    </xf>
    <xf numFmtId="49" fontId="0" fillId="0" borderId="0" xfId="0" applyNumberFormat="1" applyFont="1" applyBorder="1" applyAlignment="1" applyProtection="1">
      <alignment horizontal="center" vertical="center"/>
    </xf>
    <xf numFmtId="49" fontId="0" fillId="0" borderId="0" xfId="0" applyNumberFormat="1" applyFont="1" applyBorder="1" applyProtection="1">
      <protection locked="0"/>
    </xf>
    <xf numFmtId="49" fontId="26" fillId="0" borderId="0" xfId="0" applyNumberFormat="1" applyFont="1" applyBorder="1" applyProtection="1">
      <protection locked="0"/>
    </xf>
    <xf numFmtId="49" fontId="28" fillId="3" borderId="63" xfId="0" applyNumberFormat="1" applyFont="1" applyFill="1" applyBorder="1" applyAlignment="1" applyProtection="1">
      <alignment horizontal="left"/>
    </xf>
    <xf numFmtId="49" fontId="61" fillId="3" borderId="64" xfId="0" applyNumberFormat="1" applyFont="1" applyFill="1" applyBorder="1" applyProtection="1"/>
    <xf numFmtId="49" fontId="28" fillId="3" borderId="64" xfId="0" applyNumberFormat="1" applyFont="1" applyFill="1" applyBorder="1" applyAlignment="1" applyProtection="1">
      <alignment horizontal="right"/>
    </xf>
    <xf numFmtId="49" fontId="62" fillId="3" borderId="65" xfId="0" applyNumberFormat="1" applyFont="1" applyFill="1" applyBorder="1" applyAlignment="1" applyProtection="1">
      <alignment horizontal="right"/>
    </xf>
    <xf numFmtId="49" fontId="3" fillId="3" borderId="12" xfId="0" applyNumberFormat="1" applyFont="1" applyFill="1" applyBorder="1" applyAlignment="1" applyProtection="1">
      <alignment horizontal="center" vertical="center"/>
    </xf>
    <xf numFmtId="49" fontId="3" fillId="3" borderId="13" xfId="0" applyNumberFormat="1" applyFont="1" applyFill="1" applyBorder="1" applyProtection="1"/>
    <xf numFmtId="49" fontId="28" fillId="3" borderId="13" xfId="0" applyNumberFormat="1" applyFont="1" applyFill="1" applyBorder="1" applyAlignment="1" applyProtection="1">
      <alignment horizontal="left" vertical="center" wrapText="1"/>
    </xf>
    <xf numFmtId="49" fontId="28" fillId="3" borderId="14" xfId="0" applyNumberFormat="1" applyFont="1" applyFill="1" applyBorder="1" applyAlignment="1" applyProtection="1">
      <alignment horizontal="left" vertical="center" wrapText="1"/>
    </xf>
    <xf numFmtId="49" fontId="0" fillId="0" borderId="6" xfId="0" applyNumberFormat="1" applyFont="1" applyFill="1" applyBorder="1" applyAlignment="1" applyProtection="1">
      <alignment horizontal="center" vertical="center"/>
    </xf>
    <xf numFmtId="49" fontId="0" fillId="0" borderId="26" xfId="0" applyNumberFormat="1" applyFont="1" applyBorder="1" applyProtection="1">
      <protection locked="0"/>
    </xf>
    <xf numFmtId="49" fontId="0" fillId="0" borderId="27" xfId="0" applyNumberFormat="1" applyFont="1" applyBorder="1" applyProtection="1">
      <protection locked="0"/>
    </xf>
    <xf numFmtId="49" fontId="0" fillId="0" borderId="26" xfId="0" applyNumberFormat="1" applyFont="1" applyBorder="1" applyAlignment="1" applyProtection="1">
      <alignment wrapText="1"/>
      <protection locked="0"/>
    </xf>
    <xf numFmtId="49" fontId="4" fillId="0" borderId="28" xfId="0" applyNumberFormat="1" applyFont="1" applyBorder="1" applyProtection="1">
      <protection locked="0"/>
    </xf>
    <xf numFmtId="49" fontId="0" fillId="0" borderId="12" xfId="0" applyNumberFormat="1" applyFont="1" applyFill="1" applyBorder="1" applyAlignment="1" applyProtection="1">
      <alignment horizontal="center" vertical="center"/>
    </xf>
    <xf numFmtId="49" fontId="0" fillId="0" borderId="30" xfId="0" applyNumberFormat="1" applyFont="1" applyBorder="1" applyProtection="1">
      <protection locked="0"/>
    </xf>
    <xf numFmtId="49" fontId="0" fillId="0" borderId="30" xfId="0" applyNumberFormat="1" applyFont="1" applyBorder="1" applyAlignment="1" applyProtection="1">
      <alignment wrapText="1"/>
      <protection locked="0"/>
    </xf>
    <xf numFmtId="49" fontId="4" fillId="0" borderId="31" xfId="0" applyNumberFormat="1" applyFont="1" applyBorder="1" applyProtection="1">
      <protection locked="0"/>
    </xf>
    <xf numFmtId="49" fontId="59" fillId="0" borderId="80" xfId="0" applyNumberFormat="1" applyFont="1" applyFill="1" applyBorder="1" applyAlignment="1" applyProtection="1">
      <alignment horizontal="left" vertical="center"/>
    </xf>
    <xf numFmtId="49" fontId="59" fillId="0" borderId="80" xfId="0" applyNumberFormat="1" applyFont="1" applyFill="1" applyBorder="1" applyAlignment="1" applyProtection="1">
      <alignment vertical="center" wrapText="1"/>
    </xf>
    <xf numFmtId="49" fontId="10" fillId="0" borderId="0" xfId="0" applyNumberFormat="1" applyFont="1" applyFill="1" applyBorder="1" applyAlignment="1" applyProtection="1">
      <alignment wrapText="1"/>
    </xf>
    <xf numFmtId="49" fontId="11" fillId="0" borderId="0" xfId="0" applyNumberFormat="1" applyFont="1" applyFill="1" applyBorder="1" applyAlignment="1" applyProtection="1">
      <alignment wrapText="1"/>
    </xf>
    <xf numFmtId="49" fontId="12" fillId="0" borderId="0" xfId="0" applyNumberFormat="1" applyFont="1" applyBorder="1" applyAlignment="1" applyProtection="1">
      <alignment horizontal="right"/>
    </xf>
    <xf numFmtId="49" fontId="12" fillId="0" borderId="0" xfId="0" applyNumberFormat="1" applyFont="1" applyProtection="1"/>
    <xf numFmtId="49" fontId="13" fillId="0" borderId="0" xfId="0" applyNumberFormat="1" applyFont="1" applyProtection="1"/>
    <xf numFmtId="49" fontId="17" fillId="0" borderId="0" xfId="0" applyNumberFormat="1" applyFont="1" applyAlignment="1" applyProtection="1">
      <alignment horizontal="left" vertical="center"/>
    </xf>
    <xf numFmtId="49" fontId="17" fillId="0" borderId="0" xfId="0" applyNumberFormat="1" applyFont="1" applyAlignment="1">
      <alignment horizontal="left" vertical="center"/>
    </xf>
    <xf numFmtId="49" fontId="15" fillId="0" borderId="5" xfId="0" applyNumberFormat="1" applyFont="1" applyBorder="1" applyProtection="1"/>
    <xf numFmtId="49" fontId="15" fillId="0" borderId="8" xfId="0" applyNumberFormat="1" applyFont="1" applyBorder="1" applyProtection="1"/>
    <xf numFmtId="49" fontId="15" fillId="0" borderId="9" xfId="0" applyNumberFormat="1" applyFont="1" applyBorder="1" applyProtection="1"/>
    <xf numFmtId="49" fontId="15" fillId="0" borderId="11" xfId="0" applyNumberFormat="1" applyFont="1" applyBorder="1" applyProtection="1"/>
    <xf numFmtId="49" fontId="15" fillId="0" borderId="14" xfId="0" applyNumberFormat="1" applyFont="1" applyBorder="1" applyProtection="1"/>
    <xf numFmtId="49" fontId="34" fillId="0" borderId="58" xfId="0" applyNumberFormat="1" applyFont="1" applyBorder="1" applyAlignment="1" applyProtection="1">
      <alignment horizontal="left"/>
    </xf>
    <xf numFmtId="49" fontId="0" fillId="0" borderId="68" xfId="0" applyNumberFormat="1" applyBorder="1" applyAlignment="1" applyProtection="1">
      <alignment horizontal="center"/>
    </xf>
    <xf numFmtId="49" fontId="3" fillId="3" borderId="15" xfId="0" applyNumberFormat="1" applyFont="1" applyFill="1" applyBorder="1" applyAlignment="1" applyProtection="1">
      <alignment vertical="top"/>
    </xf>
    <xf numFmtId="49" fontId="3" fillId="3" borderId="16" xfId="0" applyNumberFormat="1" applyFont="1" applyFill="1" applyBorder="1" applyAlignment="1" applyProtection="1">
      <alignment vertical="top" wrapText="1"/>
    </xf>
    <xf numFmtId="49" fontId="28" fillId="3" borderId="17" xfId="0" applyNumberFormat="1" applyFont="1" applyFill="1" applyBorder="1" applyAlignment="1" applyProtection="1">
      <alignment vertical="top" wrapText="1"/>
    </xf>
    <xf numFmtId="49" fontId="5" fillId="0" borderId="0" xfId="0" applyNumberFormat="1" applyFont="1"/>
    <xf numFmtId="49" fontId="0" fillId="0" borderId="34" xfId="0" applyNumberFormat="1" applyBorder="1" applyProtection="1">
      <protection locked="0"/>
    </xf>
    <xf numFmtId="49" fontId="0" fillId="0" borderId="35" xfId="0" applyNumberFormat="1" applyBorder="1" applyProtection="1">
      <protection locked="0"/>
    </xf>
    <xf numFmtId="49" fontId="0" fillId="0" borderId="36" xfId="0" applyNumberFormat="1" applyBorder="1" applyProtection="1">
      <protection locked="0"/>
    </xf>
    <xf numFmtId="49" fontId="0" fillId="0" borderId="37" xfId="0" applyNumberFormat="1" applyBorder="1" applyProtection="1">
      <protection locked="0"/>
    </xf>
    <xf numFmtId="49" fontId="0" fillId="0" borderId="27" xfId="0" applyNumberFormat="1" applyBorder="1" applyProtection="1">
      <protection locked="0"/>
    </xf>
    <xf numFmtId="49" fontId="0" fillId="0" borderId="28" xfId="0" applyNumberFormat="1" applyBorder="1" applyProtection="1">
      <protection locked="0"/>
    </xf>
    <xf numFmtId="49" fontId="0" fillId="0" borderId="29" xfId="0" applyNumberFormat="1" applyBorder="1" applyProtection="1">
      <protection locked="0"/>
    </xf>
    <xf numFmtId="49" fontId="0" fillId="0" borderId="30" xfId="0" applyNumberFormat="1" applyBorder="1" applyProtection="1">
      <protection locked="0"/>
    </xf>
    <xf numFmtId="49" fontId="0" fillId="0" borderId="31" xfId="0" applyNumberFormat="1" applyBorder="1" applyProtection="1">
      <protection locked="0"/>
    </xf>
    <xf numFmtId="49" fontId="59" fillId="0" borderId="80" xfId="0" applyNumberFormat="1" applyFont="1" applyBorder="1" applyAlignment="1" applyProtection="1">
      <alignment horizontal="right" vertical="center"/>
    </xf>
    <xf numFmtId="49" fontId="31" fillId="0" borderId="80" xfId="0" applyNumberFormat="1" applyFont="1" applyBorder="1" applyAlignment="1" applyProtection="1">
      <alignment vertical="center"/>
    </xf>
    <xf numFmtId="49" fontId="9" fillId="0" borderId="80" xfId="0" applyNumberFormat="1" applyFont="1" applyFill="1" applyBorder="1" applyAlignment="1" applyProtection="1">
      <alignment horizontal="right" vertical="center"/>
    </xf>
    <xf numFmtId="49" fontId="60" fillId="0" borderId="80" xfId="0" applyNumberFormat="1" applyFont="1" applyFill="1" applyBorder="1" applyAlignment="1" applyProtection="1">
      <alignment horizontal="right" vertical="center"/>
    </xf>
    <xf numFmtId="49" fontId="19" fillId="0" borderId="0" xfId="0" applyNumberFormat="1" applyFont="1" applyFill="1" applyBorder="1" applyAlignment="1" applyProtection="1">
      <alignment horizontal="right"/>
    </xf>
    <xf numFmtId="49" fontId="11" fillId="0" borderId="0" xfId="0" applyNumberFormat="1" applyFont="1" applyProtection="1"/>
    <xf numFmtId="49" fontId="14" fillId="3" borderId="15" xfId="0" applyNumberFormat="1" applyFont="1" applyFill="1" applyBorder="1" applyProtection="1"/>
    <xf numFmtId="49" fontId="14" fillId="3" borderId="16" xfId="0" applyNumberFormat="1" applyFont="1" applyFill="1" applyBorder="1" applyProtection="1"/>
    <xf numFmtId="49" fontId="14" fillId="3" borderId="18" xfId="0" applyNumberFormat="1" applyFont="1" applyFill="1" applyBorder="1" applyProtection="1"/>
    <xf numFmtId="49" fontId="14" fillId="3" borderId="17" xfId="0" applyNumberFormat="1" applyFont="1" applyFill="1" applyBorder="1" applyProtection="1"/>
    <xf numFmtId="49" fontId="3" fillId="3" borderId="59" xfId="0" applyNumberFormat="1" applyFont="1" applyFill="1" applyBorder="1" applyProtection="1"/>
    <xf numFmtId="49" fontId="15" fillId="0" borderId="19" xfId="0" applyNumberFormat="1" applyFont="1" applyBorder="1" applyProtection="1"/>
    <xf numFmtId="49" fontId="0" fillId="0" borderId="5" xfId="0" applyNumberFormat="1" applyBorder="1" applyProtection="1"/>
    <xf numFmtId="49" fontId="15" fillId="0" borderId="60" xfId="0" applyNumberFormat="1" applyFont="1" applyBorder="1" applyProtection="1"/>
    <xf numFmtId="49" fontId="15" fillId="0" borderId="20" xfId="0" applyNumberFormat="1" applyFont="1" applyBorder="1" applyProtection="1"/>
    <xf numFmtId="49" fontId="15" fillId="0" borderId="21" xfId="0" applyNumberFormat="1" applyFont="1" applyBorder="1" applyProtection="1"/>
    <xf numFmtId="49" fontId="15" fillId="0" borderId="22" xfId="0" applyNumberFormat="1" applyFont="1" applyBorder="1" applyProtection="1"/>
    <xf numFmtId="49" fontId="0" fillId="0" borderId="8" xfId="0" applyNumberFormat="1" applyBorder="1" applyProtection="1"/>
    <xf numFmtId="49" fontId="15" fillId="0" borderId="61" xfId="0" applyNumberFormat="1" applyFont="1" applyBorder="1" applyProtection="1"/>
    <xf numFmtId="49" fontId="15" fillId="0" borderId="23" xfId="0" applyNumberFormat="1" applyFont="1" applyBorder="1" applyProtection="1"/>
    <xf numFmtId="49" fontId="15" fillId="0" borderId="57" xfId="0" applyNumberFormat="1" applyFont="1" applyBorder="1" applyProtection="1"/>
    <xf numFmtId="49" fontId="15" fillId="0" borderId="24" xfId="0" applyNumberFormat="1" applyFont="1" applyBorder="1" applyProtection="1"/>
    <xf numFmtId="49" fontId="15" fillId="0" borderId="25" xfId="0" applyNumberFormat="1" applyFont="1" applyBorder="1" applyProtection="1"/>
    <xf numFmtId="49" fontId="0" fillId="0" borderId="39" xfId="0" applyNumberFormat="1" applyBorder="1" applyProtection="1"/>
    <xf numFmtId="49" fontId="15" fillId="0" borderId="62" xfId="0" applyNumberFormat="1" applyFont="1" applyBorder="1" applyProtection="1"/>
    <xf numFmtId="49" fontId="0" fillId="0" borderId="67" xfId="0" applyNumberFormat="1" applyBorder="1" applyAlignment="1" applyProtection="1">
      <alignment horizontal="left"/>
    </xf>
    <xf numFmtId="49" fontId="0" fillId="0" borderId="68" xfId="0" applyNumberFormat="1" applyBorder="1" applyAlignment="1" applyProtection="1">
      <alignment horizontal="left"/>
    </xf>
    <xf numFmtId="49" fontId="3" fillId="3" borderId="58" xfId="0" applyNumberFormat="1" applyFont="1" applyFill="1" applyBorder="1" applyProtection="1"/>
    <xf numFmtId="49" fontId="3" fillId="3" borderId="16" xfId="0" applyNumberFormat="1" applyFont="1" applyFill="1" applyBorder="1" applyProtection="1"/>
    <xf numFmtId="49" fontId="3" fillId="3" borderId="18" xfId="0" applyNumberFormat="1" applyFont="1" applyFill="1" applyBorder="1" applyProtection="1"/>
    <xf numFmtId="49" fontId="3" fillId="3" borderId="17" xfId="0" applyNumberFormat="1" applyFont="1" applyFill="1" applyBorder="1" applyProtection="1"/>
    <xf numFmtId="49" fontId="3" fillId="3" borderId="59" xfId="0" applyNumberFormat="1" applyFont="1" applyFill="1" applyBorder="1" applyAlignment="1" applyProtection="1">
      <alignment wrapText="1"/>
    </xf>
    <xf numFmtId="49" fontId="0" fillId="0" borderId="60" xfId="0" applyNumberFormat="1" applyBorder="1" applyProtection="1">
      <protection locked="0"/>
    </xf>
    <xf numFmtId="49" fontId="0" fillId="0" borderId="57" xfId="0" applyNumberFormat="1" applyBorder="1" applyProtection="1">
      <protection locked="0"/>
    </xf>
    <xf numFmtId="49" fontId="20" fillId="0" borderId="0" xfId="0" applyNumberFormat="1" applyFont="1" applyProtection="1">
      <protection locked="0"/>
    </xf>
    <xf numFmtId="49" fontId="0" fillId="0" borderId="55" xfId="0" applyNumberFormat="1" applyBorder="1" applyProtection="1">
      <protection locked="0"/>
    </xf>
    <xf numFmtId="49" fontId="11" fillId="0" borderId="0" xfId="0" applyNumberFormat="1" applyFont="1"/>
    <xf numFmtId="49" fontId="39" fillId="4" borderId="73" xfId="0" applyNumberFormat="1" applyFont="1" applyFill="1" applyBorder="1" applyAlignment="1">
      <alignment vertical="top"/>
    </xf>
    <xf numFmtId="49" fontId="0" fillId="0" borderId="73" xfId="0" applyNumberFormat="1" applyBorder="1" applyAlignment="1">
      <alignment vertical="top"/>
    </xf>
    <xf numFmtId="22" fontId="0" fillId="0" borderId="0" xfId="0" applyNumberFormat="1"/>
    <xf numFmtId="49" fontId="32" fillId="0" borderId="0" xfId="0" applyNumberFormat="1" applyFont="1" applyAlignment="1">
      <alignment horizontal="center"/>
    </xf>
    <xf numFmtId="49" fontId="54" fillId="0" borderId="0" xfId="0" applyNumberFormat="1" applyFont="1"/>
    <xf numFmtId="49" fontId="0" fillId="0" borderId="23" xfId="0" applyNumberFormat="1" applyFont="1" applyBorder="1" applyAlignment="1" applyProtection="1">
      <protection locked="0"/>
    </xf>
    <xf numFmtId="49" fontId="0" fillId="0" borderId="33" xfId="0" applyNumberFormat="1" applyBorder="1" applyAlignment="1" applyProtection="1">
      <protection locked="0"/>
    </xf>
    <xf numFmtId="49" fontId="0" fillId="2" borderId="13" xfId="0" applyNumberFormat="1" applyFont="1" applyFill="1" applyBorder="1" applyProtection="1"/>
    <xf numFmtId="49" fontId="30" fillId="2" borderId="14" xfId="0" applyNumberFormat="1" applyFont="1" applyFill="1" applyBorder="1" applyProtection="1"/>
    <xf numFmtId="49" fontId="0" fillId="0" borderId="43" xfId="0" applyNumberFormat="1" applyFont="1" applyFill="1" applyBorder="1" applyAlignment="1" applyProtection="1">
      <alignment horizontal="center" vertical="center"/>
    </xf>
    <xf numFmtId="49" fontId="0" fillId="0" borderId="21" xfId="0" applyNumberFormat="1" applyFont="1" applyFill="1" applyBorder="1" applyProtection="1">
      <protection locked="0"/>
    </xf>
    <xf numFmtId="49" fontId="0" fillId="0" borderId="22" xfId="0" applyNumberFormat="1" applyFont="1" applyFill="1" applyBorder="1" applyAlignment="1" applyProtection="1">
      <protection locked="0"/>
    </xf>
    <xf numFmtId="49" fontId="0" fillId="0" borderId="32" xfId="0" applyNumberFormat="1" applyFill="1" applyBorder="1" applyAlignment="1" applyProtection="1">
      <protection locked="0"/>
    </xf>
    <xf numFmtId="49" fontId="30" fillId="0" borderId="54" xfId="0" applyNumberFormat="1" applyFont="1" applyFill="1" applyBorder="1" applyProtection="1">
      <protection locked="0"/>
    </xf>
    <xf numFmtId="49" fontId="0" fillId="0" borderId="0" xfId="0" applyNumberFormat="1" applyFill="1" applyProtection="1">
      <protection locked="0"/>
    </xf>
    <xf numFmtId="49" fontId="0" fillId="0" borderId="0" xfId="0" applyNumberFormat="1" applyFill="1" applyProtection="1"/>
    <xf numFmtId="49" fontId="0" fillId="0" borderId="76" xfId="0" applyNumberFormat="1" applyFont="1" applyFill="1" applyBorder="1" applyProtection="1"/>
    <xf numFmtId="49" fontId="30" fillId="0" borderId="81" xfId="0" applyNumberFormat="1" applyFont="1" applyFill="1" applyBorder="1" applyProtection="1">
      <protection locked="0"/>
    </xf>
    <xf numFmtId="49" fontId="30" fillId="0" borderId="14" xfId="0" applyNumberFormat="1" applyFont="1" applyFill="1" applyBorder="1" applyProtection="1"/>
    <xf numFmtId="49" fontId="25" fillId="0" borderId="80" xfId="0" applyNumberFormat="1" applyFont="1" applyBorder="1" applyAlignment="1" applyProtection="1">
      <alignment horizontal="center" vertical="center"/>
    </xf>
    <xf numFmtId="49" fontId="0" fillId="0" borderId="22" xfId="0" applyNumberFormat="1" applyFont="1" applyBorder="1" applyAlignment="1" applyProtection="1">
      <alignment horizontal="left" vertical="top" wrapText="1"/>
      <protection locked="0"/>
    </xf>
    <xf numFmtId="49" fontId="0" fillId="0" borderId="44" xfId="0" applyNumberFormat="1" applyBorder="1" applyAlignment="1" applyProtection="1">
      <alignment horizontal="left" vertical="top" wrapText="1"/>
      <protection locked="0"/>
    </xf>
    <xf numFmtId="49" fontId="27" fillId="0" borderId="48" xfId="0" applyNumberFormat="1" applyFont="1" applyBorder="1" applyAlignment="1" applyProtection="1">
      <alignment horizontal="left" vertical="top" wrapText="1"/>
      <protection locked="0"/>
    </xf>
    <xf numFmtId="49" fontId="27" fillId="0" borderId="46" xfId="0" applyNumberFormat="1" applyFont="1" applyBorder="1" applyAlignment="1" applyProtection="1">
      <alignment horizontal="left" vertical="top" wrapText="1"/>
      <protection locked="0"/>
    </xf>
    <xf numFmtId="49" fontId="1" fillId="0" borderId="73" xfId="0" applyNumberFormat="1" applyFont="1" applyBorder="1" applyAlignment="1">
      <alignment horizontal="left" vertical="top" wrapText="1"/>
    </xf>
    <xf numFmtId="49" fontId="1" fillId="0" borderId="70" xfId="0" applyNumberFormat="1" applyFont="1" applyBorder="1" applyAlignment="1">
      <alignment horizontal="left" vertical="top" wrapText="1"/>
    </xf>
    <xf numFmtId="49" fontId="1" fillId="0" borderId="71" xfId="0" applyNumberFormat="1" applyFont="1" applyBorder="1" applyAlignment="1">
      <alignment horizontal="left" vertical="top" wrapText="1"/>
    </xf>
    <xf numFmtId="49" fontId="1" fillId="0" borderId="72" xfId="0" applyNumberFormat="1" applyFont="1" applyBorder="1" applyAlignment="1">
      <alignment horizontal="left" vertical="top" wrapText="1"/>
    </xf>
    <xf numFmtId="49" fontId="0" fillId="4" borderId="73" xfId="0" applyNumberFormat="1" applyFill="1" applyBorder="1" applyAlignment="1">
      <alignment horizontal="left" vertical="top" wrapText="1"/>
    </xf>
    <xf numFmtId="49" fontId="0" fillId="0" borderId="70" xfId="0" applyNumberFormat="1" applyBorder="1" applyAlignment="1">
      <alignment horizontal="left" vertical="top"/>
    </xf>
    <xf numFmtId="49" fontId="0" fillId="0" borderId="71" xfId="0" applyNumberFormat="1" applyBorder="1" applyAlignment="1">
      <alignment horizontal="left" vertical="top"/>
    </xf>
    <xf numFmtId="49" fontId="0" fillId="0" borderId="72" xfId="0" applyNumberFormat="1" applyBorder="1" applyAlignment="1">
      <alignment horizontal="left" vertical="top"/>
    </xf>
    <xf numFmtId="49" fontId="39" fillId="4" borderId="73" xfId="0" applyNumberFormat="1" applyFont="1" applyFill="1" applyBorder="1" applyAlignment="1">
      <alignment horizontal="left" vertical="top"/>
    </xf>
    <xf numFmtId="49" fontId="6" fillId="0" borderId="73" xfId="0" applyNumberFormat="1" applyFont="1" applyBorder="1" applyAlignment="1">
      <alignment horizontal="left" vertical="top"/>
    </xf>
    <xf numFmtId="49" fontId="1" fillId="6" borderId="73" xfId="0" applyNumberFormat="1" applyFont="1" applyFill="1" applyBorder="1" applyAlignment="1">
      <alignment horizontal="left" vertical="top"/>
    </xf>
    <xf numFmtId="49" fontId="42" fillId="0" borderId="73" xfId="0" applyNumberFormat="1" applyFont="1" applyBorder="1" applyAlignment="1">
      <alignment horizontal="left" vertical="top"/>
    </xf>
    <xf numFmtId="49" fontId="48" fillId="0" borderId="73" xfId="0" applyNumberFormat="1" applyFont="1" applyBorder="1" applyAlignment="1">
      <alignment horizontal="left" vertical="top"/>
    </xf>
    <xf numFmtId="49" fontId="0" fillId="4" borderId="73" xfId="0" applyNumberFormat="1" applyFill="1" applyBorder="1" applyAlignment="1">
      <alignment horizontal="center" vertical="top" wrapText="1"/>
    </xf>
    <xf numFmtId="49" fontId="37" fillId="4" borderId="70" xfId="0" applyNumberFormat="1" applyFont="1" applyFill="1" applyBorder="1" applyAlignment="1">
      <alignment horizontal="left" vertical="top"/>
    </xf>
    <xf numFmtId="49" fontId="37" fillId="4" borderId="71" xfId="0" applyNumberFormat="1" applyFont="1" applyFill="1" applyBorder="1" applyAlignment="1">
      <alignment horizontal="left" vertical="top"/>
    </xf>
    <xf numFmtId="49" fontId="37" fillId="4" borderId="72" xfId="0" applyNumberFormat="1" applyFont="1" applyFill="1" applyBorder="1" applyAlignment="1">
      <alignment horizontal="left" vertical="top"/>
    </xf>
    <xf numFmtId="49" fontId="38" fillId="0" borderId="73" xfId="0" applyNumberFormat="1" applyFont="1" applyBorder="1" applyAlignment="1">
      <alignment horizontal="left" vertical="top" wrapText="1"/>
    </xf>
    <xf numFmtId="49" fontId="39" fillId="4" borderId="73" xfId="0" applyNumberFormat="1" applyFont="1" applyFill="1" applyBorder="1" applyAlignment="1">
      <alignment vertical="top"/>
    </xf>
    <xf numFmtId="49" fontId="0" fillId="0" borderId="73" xfId="0" applyNumberFormat="1" applyBorder="1" applyAlignment="1">
      <alignment vertical="top"/>
    </xf>
    <xf numFmtId="49" fontId="0" fillId="0" borderId="73" xfId="0" applyNumberFormat="1" applyBorder="1" applyAlignment="1">
      <alignment horizontal="left" vertical="top"/>
    </xf>
    <xf numFmtId="49" fontId="0" fillId="0" borderId="73" xfId="0" applyNumberFormat="1" applyBorder="1" applyAlignment="1">
      <alignment horizontal="left" vertical="top" wrapText="1"/>
    </xf>
    <xf numFmtId="49" fontId="0" fillId="0" borderId="45" xfId="0" applyNumberFormat="1" applyFont="1" applyFill="1" applyBorder="1" applyAlignment="1" applyProtection="1"/>
    <xf numFmtId="49" fontId="0" fillId="0" borderId="56" xfId="0" applyNumberFormat="1" applyFont="1" applyFill="1" applyBorder="1" applyAlignment="1" applyProtection="1"/>
    <xf numFmtId="49" fontId="24" fillId="3" borderId="42" xfId="0" applyNumberFormat="1" applyFont="1" applyFill="1" applyBorder="1" applyAlignment="1" applyProtection="1"/>
    <xf numFmtId="49" fontId="0" fillId="3" borderId="52" xfId="0" applyNumberFormat="1" applyFill="1" applyBorder="1" applyAlignment="1" applyProtection="1"/>
    <xf numFmtId="49" fontId="0" fillId="2" borderId="45" xfId="0" applyNumberFormat="1" applyFont="1" applyFill="1" applyBorder="1" applyAlignment="1" applyProtection="1"/>
    <xf numFmtId="49" fontId="0" fillId="0" borderId="56" xfId="0" applyNumberFormat="1" applyBorder="1" applyAlignment="1" applyProtection="1"/>
    <xf numFmtId="49" fontId="0" fillId="2" borderId="23" xfId="0" applyNumberFormat="1" applyFont="1" applyFill="1" applyBorder="1" applyAlignment="1" applyProtection="1"/>
    <xf numFmtId="49" fontId="0" fillId="2" borderId="33" xfId="0" applyNumberFormat="1" applyFont="1" applyFill="1" applyBorder="1" applyAlignment="1" applyProtection="1"/>
    <xf numFmtId="49" fontId="0" fillId="2" borderId="22" xfId="0" applyNumberFormat="1" applyFont="1" applyFill="1" applyBorder="1" applyAlignment="1" applyProtection="1"/>
    <xf numFmtId="49" fontId="0" fillId="2" borderId="32" xfId="0" applyNumberFormat="1" applyFont="1" applyFill="1" applyBorder="1" applyAlignment="1" applyProtection="1"/>
    <xf numFmtId="49" fontId="0" fillId="0" borderId="22" xfId="0" applyNumberFormat="1" applyFont="1" applyBorder="1" applyAlignment="1" applyProtection="1">
      <protection locked="0"/>
    </xf>
    <xf numFmtId="49" fontId="0" fillId="0" borderId="32" xfId="0" applyNumberFormat="1" applyBorder="1" applyAlignment="1" applyProtection="1">
      <protection locked="0"/>
    </xf>
    <xf numFmtId="49" fontId="0" fillId="0" borderId="23" xfId="0" applyNumberFormat="1" applyFont="1" applyBorder="1" applyAlignment="1" applyProtection="1">
      <protection locked="0"/>
    </xf>
    <xf numFmtId="49" fontId="0" fillId="0" borderId="33" xfId="0" applyNumberFormat="1" applyBorder="1" applyAlignment="1" applyProtection="1">
      <protection locked="0"/>
    </xf>
    <xf numFmtId="49" fontId="0" fillId="0" borderId="23" xfId="0" applyNumberFormat="1" applyFont="1" applyFill="1" applyBorder="1" applyAlignment="1" applyProtection="1"/>
    <xf numFmtId="49" fontId="0" fillId="0" borderId="33" xfId="0" applyNumberFormat="1" applyFont="1" applyFill="1" applyBorder="1" applyAlignment="1" applyProtection="1"/>
    <xf numFmtId="49" fontId="0" fillId="0" borderId="0" xfId="0" quotePrefix="1" applyNumberFormat="1" applyAlignment="1" applyProtection="1"/>
    <xf numFmtId="0" fontId="0" fillId="0" borderId="0" xfId="0" applyAlignment="1"/>
    <xf numFmtId="49" fontId="0" fillId="0" borderId="0" xfId="0" applyNumberFormat="1" applyAlignment="1" applyProtection="1"/>
    <xf numFmtId="49" fontId="28" fillId="0" borderId="0" xfId="0" applyNumberFormat="1" applyFont="1" applyAlignment="1" applyProtection="1"/>
    <xf numFmtId="49" fontId="1" fillId="0" borderId="0" xfId="0" applyNumberFormat="1" applyFont="1" applyAlignment="1" applyProtection="1"/>
    <xf numFmtId="49" fontId="0" fillId="0" borderId="0" xfId="0" applyNumberFormat="1" applyFont="1" applyAlignment="1" applyProtection="1"/>
    <xf numFmtId="49" fontId="0" fillId="0" borderId="22" xfId="0" applyNumberFormat="1" applyBorder="1" applyProtection="1">
      <protection locked="0"/>
    </xf>
    <xf numFmtId="49" fontId="0" fillId="0" borderId="23" xfId="0" applyNumberFormat="1" applyBorder="1" applyProtection="1">
      <protection locked="0"/>
    </xf>
    <xf numFmtId="49" fontId="0" fillId="0" borderId="45" xfId="0" applyNumberFormat="1" applyBorder="1" applyProtection="1">
      <protection locked="0"/>
    </xf>
    <xf numFmtId="49" fontId="0" fillId="0" borderId="86" xfId="0" applyNumberFormat="1" applyBorder="1" applyProtection="1">
      <protection locked="0"/>
    </xf>
    <xf numFmtId="49" fontId="0" fillId="0" borderId="87" xfId="0" applyNumberFormat="1" applyBorder="1" applyProtection="1">
      <protection locked="0"/>
    </xf>
    <xf numFmtId="49" fontId="0" fillId="0" borderId="88" xfId="0" applyNumberFormat="1" applyBorder="1" applyProtection="1">
      <protection locked="0"/>
    </xf>
    <xf numFmtId="49" fontId="8" fillId="0" borderId="89" xfId="0" applyNumberFormat="1" applyFont="1" applyBorder="1" applyAlignment="1" applyProtection="1">
      <alignment horizontal="center" vertical="center"/>
      <protection locked="0"/>
    </xf>
    <xf numFmtId="49" fontId="3" fillId="0" borderId="90" xfId="0" applyNumberFormat="1" applyFont="1" applyBorder="1" applyAlignment="1" applyProtection="1">
      <alignment horizontal="center" vertical="center"/>
      <protection locked="0"/>
    </xf>
    <xf numFmtId="49" fontId="25" fillId="7" borderId="91" xfId="0" applyNumberFormat="1" applyFont="1" applyFill="1" applyBorder="1" applyAlignment="1" applyProtection="1">
      <alignment horizontal="center" textRotation="90"/>
      <protection locked="0"/>
    </xf>
    <xf numFmtId="49" fontId="25" fillId="7" borderId="92" xfId="0" applyNumberFormat="1" applyFont="1" applyFill="1" applyBorder="1" applyAlignment="1" applyProtection="1">
      <alignment horizontal="center" textRotation="90"/>
      <protection locked="0"/>
    </xf>
    <xf numFmtId="49" fontId="25" fillId="7" borderId="93" xfId="0" applyNumberFormat="1" applyFont="1" applyFill="1" applyBorder="1" applyAlignment="1" applyProtection="1">
      <alignment horizontal="center" textRotation="90"/>
      <protection locked="0"/>
    </xf>
    <xf numFmtId="49" fontId="25" fillId="8" borderId="50" xfId="0" applyNumberFormat="1" applyFont="1" applyFill="1" applyBorder="1" applyAlignment="1" applyProtection="1">
      <alignment horizontal="center" textRotation="90"/>
      <protection locked="0"/>
    </xf>
    <xf numFmtId="49" fontId="25" fillId="8" borderId="92" xfId="0" applyNumberFormat="1" applyFont="1" applyFill="1" applyBorder="1" applyAlignment="1" applyProtection="1">
      <alignment horizontal="center" textRotation="90"/>
      <protection locked="0"/>
    </xf>
    <xf numFmtId="49" fontId="25" fillId="8" borderId="94" xfId="0" applyNumberFormat="1" applyFont="1" applyFill="1" applyBorder="1" applyAlignment="1" applyProtection="1">
      <alignment horizontal="center" textRotation="90"/>
      <protection locked="0"/>
    </xf>
    <xf numFmtId="49" fontId="25" fillId="3" borderId="91" xfId="0" applyNumberFormat="1" applyFont="1" applyFill="1" applyBorder="1" applyAlignment="1" applyProtection="1">
      <alignment horizontal="center" textRotation="90"/>
      <protection locked="0"/>
    </xf>
    <xf numFmtId="49" fontId="25" fillId="3" borderId="92" xfId="0" applyNumberFormat="1" applyFont="1" applyFill="1" applyBorder="1" applyAlignment="1" applyProtection="1">
      <alignment horizontal="center" textRotation="90"/>
      <protection locked="0"/>
    </xf>
    <xf numFmtId="49" fontId="25" fillId="3" borderId="93" xfId="0" applyNumberFormat="1" applyFont="1" applyFill="1" applyBorder="1" applyAlignment="1" applyProtection="1">
      <alignment horizontal="center" textRotation="90"/>
      <protection locked="0"/>
    </xf>
    <xf numFmtId="49" fontId="3" fillId="0" borderId="95" xfId="0" applyNumberFormat="1" applyFont="1" applyBorder="1" applyAlignment="1" applyProtection="1">
      <alignment horizontal="center" vertical="center"/>
      <protection locked="0"/>
    </xf>
    <xf numFmtId="49" fontId="5" fillId="0" borderId="89" xfId="0" applyNumberFormat="1" applyFont="1" applyBorder="1" applyAlignment="1" applyProtection="1">
      <alignment horizontal="center" vertical="center"/>
    </xf>
    <xf numFmtId="49" fontId="35" fillId="0" borderId="50" xfId="0" applyNumberFormat="1" applyFont="1" applyBorder="1" applyAlignment="1" applyProtection="1">
      <alignment horizontal="center" vertical="center"/>
    </xf>
    <xf numFmtId="49" fontId="0" fillId="7" borderId="91" xfId="0" applyNumberFormat="1" applyFill="1" applyBorder="1" applyAlignment="1" applyProtection="1">
      <alignment textRotation="90"/>
      <protection locked="0"/>
    </xf>
    <xf numFmtId="49" fontId="0" fillId="7" borderId="92" xfId="0" applyNumberFormat="1" applyFill="1" applyBorder="1" applyAlignment="1" applyProtection="1">
      <alignment textRotation="90"/>
      <protection locked="0"/>
    </xf>
    <xf numFmtId="49" fontId="0" fillId="7" borderId="93" xfId="0" applyNumberFormat="1" applyFill="1" applyBorder="1" applyAlignment="1" applyProtection="1">
      <alignment textRotation="90"/>
      <protection locked="0"/>
    </xf>
    <xf numFmtId="49" fontId="0" fillId="8" borderId="50" xfId="0" applyNumberFormat="1" applyFill="1" applyBorder="1" applyAlignment="1" applyProtection="1">
      <alignment textRotation="90"/>
      <protection locked="0"/>
    </xf>
    <xf numFmtId="49" fontId="0" fillId="8" borderId="92" xfId="0" applyNumberFormat="1" applyFill="1" applyBorder="1" applyAlignment="1" applyProtection="1">
      <alignment textRotation="90"/>
      <protection locked="0"/>
    </xf>
    <xf numFmtId="49" fontId="0" fillId="8" borderId="94" xfId="0" applyNumberFormat="1" applyFill="1" applyBorder="1" applyAlignment="1" applyProtection="1">
      <alignment textRotation="90"/>
      <protection locked="0"/>
    </xf>
    <xf numFmtId="49" fontId="0" fillId="3" borderId="91" xfId="0" applyNumberFormat="1" applyFill="1" applyBorder="1" applyAlignment="1" applyProtection="1">
      <alignment textRotation="90"/>
      <protection locked="0"/>
    </xf>
    <xf numFmtId="49" fontId="0" fillId="3" borderId="92" xfId="0" applyNumberFormat="1" applyFill="1" applyBorder="1" applyAlignment="1" applyProtection="1">
      <alignment textRotation="90"/>
      <protection locked="0"/>
    </xf>
    <xf numFmtId="49" fontId="0" fillId="3" borderId="93" xfId="0" applyNumberFormat="1" applyFill="1" applyBorder="1" applyAlignment="1" applyProtection="1">
      <alignment textRotation="90"/>
      <protection locked="0"/>
    </xf>
    <xf numFmtId="49" fontId="35" fillId="0" borderId="98" xfId="0" applyNumberFormat="1" applyFont="1" applyBorder="1" applyAlignment="1" applyProtection="1">
      <alignment horizontal="center" vertical="center"/>
    </xf>
    <xf numFmtId="49" fontId="0" fillId="7" borderId="96" xfId="0" applyNumberFormat="1" applyFill="1" applyBorder="1" applyAlignment="1" applyProtection="1">
      <alignment horizontal="center" vertical="center"/>
      <protection locked="0"/>
    </xf>
    <xf numFmtId="49" fontId="0" fillId="7" borderId="21" xfId="0" applyNumberFormat="1" applyFill="1" applyBorder="1" applyAlignment="1" applyProtection="1">
      <alignment horizontal="center" vertical="center"/>
      <protection locked="0"/>
    </xf>
    <xf numFmtId="49" fontId="0" fillId="7" borderId="97" xfId="0" applyNumberFormat="1" applyFill="1" applyBorder="1" applyAlignment="1" applyProtection="1">
      <alignment horizontal="center" vertical="center"/>
      <protection locked="0"/>
    </xf>
    <xf numFmtId="49" fontId="0" fillId="8" borderId="32" xfId="0" applyNumberFormat="1" applyFill="1" applyBorder="1" applyAlignment="1" applyProtection="1">
      <alignment horizontal="center" vertical="center"/>
      <protection locked="0"/>
    </xf>
    <xf numFmtId="49" fontId="0" fillId="8" borderId="21" xfId="0" applyNumberFormat="1" applyFill="1" applyBorder="1" applyAlignment="1" applyProtection="1">
      <alignment horizontal="center" vertical="center"/>
      <protection locked="0"/>
    </xf>
    <xf numFmtId="49" fontId="0" fillId="8" borderId="22" xfId="0" applyNumberFormat="1" applyFill="1" applyBorder="1" applyAlignment="1" applyProtection="1">
      <alignment horizontal="center" vertical="center"/>
      <protection locked="0"/>
    </xf>
    <xf numFmtId="49" fontId="0" fillId="3" borderId="96" xfId="0" applyNumberFormat="1" applyFill="1" applyBorder="1" applyAlignment="1" applyProtection="1">
      <alignment horizontal="center" vertical="center"/>
      <protection locked="0"/>
    </xf>
    <xf numFmtId="49" fontId="0" fillId="3" borderId="21" xfId="0" applyNumberFormat="1" applyFill="1" applyBorder="1" applyAlignment="1" applyProtection="1">
      <alignment horizontal="center" vertical="center"/>
      <protection locked="0"/>
    </xf>
    <xf numFmtId="49" fontId="0" fillId="3" borderId="97" xfId="0" applyNumberFormat="1" applyFill="1" applyBorder="1" applyAlignment="1" applyProtection="1">
      <alignment horizontal="center" vertical="center"/>
      <protection locked="0"/>
    </xf>
    <xf numFmtId="49" fontId="0" fillId="7" borderId="82" xfId="0" applyNumberFormat="1" applyFill="1" applyBorder="1" applyAlignment="1" applyProtection="1">
      <alignment horizontal="center" vertical="center"/>
      <protection locked="0"/>
    </xf>
    <xf numFmtId="49" fontId="0" fillId="7" borderId="7" xfId="0" applyNumberFormat="1" applyFill="1" applyBorder="1" applyAlignment="1" applyProtection="1">
      <alignment horizontal="center" vertical="center"/>
      <protection locked="0"/>
    </xf>
    <xf numFmtId="49" fontId="0" fillId="7" borderId="83" xfId="0" applyNumberFormat="1" applyFill="1" applyBorder="1" applyAlignment="1" applyProtection="1">
      <alignment horizontal="center" vertical="center"/>
      <protection locked="0"/>
    </xf>
    <xf numFmtId="49" fontId="0" fillId="8" borderId="33" xfId="0" applyNumberFormat="1" applyFill="1" applyBorder="1" applyAlignment="1" applyProtection="1">
      <alignment horizontal="center" vertical="center"/>
      <protection locked="0"/>
    </xf>
    <xf numFmtId="49" fontId="0" fillId="8" borderId="7" xfId="0" applyNumberFormat="1" applyFill="1" applyBorder="1" applyAlignment="1" applyProtection="1">
      <alignment horizontal="center" vertical="center"/>
      <protection locked="0"/>
    </xf>
    <xf numFmtId="49" fontId="0" fillId="8" borderId="23" xfId="0" applyNumberFormat="1" applyFill="1" applyBorder="1" applyAlignment="1" applyProtection="1">
      <alignment horizontal="center" vertical="center"/>
      <protection locked="0"/>
    </xf>
    <xf numFmtId="49" fontId="0" fillId="3" borderId="82" xfId="0" applyNumberFormat="1" applyFill="1" applyBorder="1" applyAlignment="1" applyProtection="1">
      <alignment horizontal="center" vertical="center"/>
      <protection locked="0"/>
    </xf>
    <xf numFmtId="49" fontId="0" fillId="3" borderId="7" xfId="0" applyNumberFormat="1" applyFill="1" applyBorder="1" applyAlignment="1" applyProtection="1">
      <alignment horizontal="center" vertical="center"/>
      <protection locked="0"/>
    </xf>
    <xf numFmtId="49" fontId="0" fillId="3" borderId="83" xfId="0" applyNumberFormat="1" applyFill="1" applyBorder="1" applyAlignment="1" applyProtection="1">
      <alignment horizontal="center" vertical="center"/>
      <protection locked="0"/>
    </xf>
    <xf numFmtId="49" fontId="0" fillId="7" borderId="84" xfId="0" applyNumberFormat="1" applyFill="1" applyBorder="1" applyAlignment="1" applyProtection="1">
      <alignment horizontal="center" vertical="center"/>
      <protection locked="0"/>
    </xf>
    <xf numFmtId="49" fontId="0" fillId="7" borderId="13" xfId="0" applyNumberFormat="1" applyFill="1" applyBorder="1" applyAlignment="1" applyProtection="1">
      <alignment horizontal="center" vertical="center"/>
      <protection locked="0"/>
    </xf>
    <xf numFmtId="49" fontId="0" fillId="7" borderId="85" xfId="0" applyNumberFormat="1" applyFill="1" applyBorder="1" applyAlignment="1" applyProtection="1">
      <alignment horizontal="center" vertical="center"/>
      <protection locked="0"/>
    </xf>
    <xf numFmtId="49" fontId="0" fillId="8" borderId="56" xfId="0" applyNumberFormat="1" applyFill="1" applyBorder="1" applyAlignment="1" applyProtection="1">
      <alignment horizontal="center" vertical="center"/>
      <protection locked="0"/>
    </xf>
    <xf numFmtId="49" fontId="0" fillId="8" borderId="13" xfId="0" applyNumberFormat="1" applyFill="1" applyBorder="1" applyAlignment="1" applyProtection="1">
      <alignment horizontal="center" vertical="center"/>
      <protection locked="0"/>
    </xf>
    <xf numFmtId="49" fontId="0" fillId="8" borderId="45" xfId="0" applyNumberFormat="1" applyFill="1" applyBorder="1" applyAlignment="1" applyProtection="1">
      <alignment horizontal="center" vertical="center"/>
      <protection locked="0"/>
    </xf>
    <xf numFmtId="49" fontId="0" fillId="3" borderId="84" xfId="0" applyNumberFormat="1" applyFill="1" applyBorder="1" applyAlignment="1" applyProtection="1">
      <alignment horizontal="center" vertical="center"/>
      <protection locked="0"/>
    </xf>
    <xf numFmtId="49" fontId="0" fillId="3" borderId="13" xfId="0" applyNumberFormat="1" applyFill="1" applyBorder="1" applyAlignment="1" applyProtection="1">
      <alignment horizontal="center" vertical="center"/>
      <protection locked="0"/>
    </xf>
    <xf numFmtId="49" fontId="0" fillId="3" borderId="85" xfId="0" applyNumberFormat="1" applyFill="1" applyBorder="1" applyAlignment="1" applyProtection="1">
      <alignment horizontal="center" vertical="center"/>
      <protection locked="0"/>
    </xf>
    <xf numFmtId="1" fontId="0" fillId="0" borderId="43" xfId="0" applyNumberFormat="1" applyBorder="1" applyProtection="1">
      <protection locked="0"/>
    </xf>
    <xf numFmtId="1" fontId="0" fillId="0" borderId="12" xfId="0" applyNumberFormat="1" applyBorder="1" applyProtection="1">
      <protection locked="0"/>
    </xf>
    <xf numFmtId="1" fontId="0" fillId="0" borderId="20" xfId="0" applyNumberFormat="1" applyBorder="1" applyProtection="1"/>
    <xf numFmtId="1" fontId="0" fillId="0" borderId="29" xfId="0" applyNumberFormat="1" applyBorder="1" applyProtection="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tage-internal.leepfrog.com/support/too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Y57"/>
  <sheetViews>
    <sheetView showGridLines="0" workbookViewId="0"/>
  </sheetViews>
  <sheetFormatPr defaultRowHeight="15" x14ac:dyDescent="0.25"/>
  <cols>
    <col min="1" max="1" width="9.140625" style="7"/>
    <col min="2" max="2" width="28.5703125" style="7" customWidth="1"/>
    <col min="3" max="3" width="8.7109375" style="7" bestFit="1" customWidth="1"/>
    <col min="4" max="4" width="9.140625" style="7"/>
    <col min="5" max="5" width="21.42578125" style="7" customWidth="1"/>
    <col min="6" max="16384" width="9.140625" style="7"/>
  </cols>
  <sheetData>
    <row r="1" spans="1:25" s="6" customFormat="1" ht="28.5" customHeight="1" thickBot="1" x14ac:dyDescent="0.3">
      <c r="A1" s="1" t="s">
        <v>320</v>
      </c>
      <c r="B1" s="2"/>
      <c r="C1" s="2"/>
      <c r="D1" s="2"/>
      <c r="E1" s="2"/>
      <c r="F1" s="2"/>
      <c r="G1" s="2"/>
      <c r="H1" s="2"/>
      <c r="I1" s="2"/>
      <c r="J1" s="2"/>
      <c r="K1" s="2"/>
      <c r="L1" s="2"/>
      <c r="M1" s="3" t="s">
        <v>324</v>
      </c>
      <c r="N1" s="4"/>
      <c r="O1" s="5"/>
      <c r="P1" s="5"/>
      <c r="Q1" s="5"/>
      <c r="R1" s="5"/>
      <c r="S1" s="5"/>
      <c r="T1" s="5"/>
      <c r="U1" s="5"/>
      <c r="V1" s="5"/>
      <c r="W1" s="5"/>
      <c r="X1" s="5"/>
      <c r="Y1" s="5"/>
    </row>
    <row r="2" spans="1:25" ht="15.75" thickTop="1" x14ac:dyDescent="0.25"/>
    <row r="3" spans="1:25" x14ac:dyDescent="0.25">
      <c r="A3" s="8" t="s">
        <v>202</v>
      </c>
    </row>
    <row r="4" spans="1:25" x14ac:dyDescent="0.25">
      <c r="A4" s="8" t="s">
        <v>201</v>
      </c>
    </row>
    <row r="5" spans="1:25" x14ac:dyDescent="0.25">
      <c r="A5" s="8" t="s">
        <v>214</v>
      </c>
    </row>
    <row r="7" spans="1:25" x14ac:dyDescent="0.25">
      <c r="A7" s="9" t="s">
        <v>13</v>
      </c>
    </row>
    <row r="8" spans="1:25" x14ac:dyDescent="0.25">
      <c r="A8" s="294" t="s">
        <v>293</v>
      </c>
      <c r="B8" s="7" t="s">
        <v>294</v>
      </c>
    </row>
    <row r="9" spans="1:25" x14ac:dyDescent="0.25">
      <c r="A9" s="9"/>
      <c r="B9" s="7" t="s">
        <v>295</v>
      </c>
    </row>
    <row r="10" spans="1:25" x14ac:dyDescent="0.25">
      <c r="A10" s="9"/>
    </row>
    <row r="11" spans="1:25" x14ac:dyDescent="0.25">
      <c r="A11" s="10" t="s">
        <v>292</v>
      </c>
      <c r="B11" s="11" t="s">
        <v>287</v>
      </c>
    </row>
    <row r="12" spans="1:25" x14ac:dyDescent="0.25">
      <c r="A12" s="10"/>
      <c r="B12" s="295" t="s">
        <v>288</v>
      </c>
    </row>
    <row r="13" spans="1:25" x14ac:dyDescent="0.25">
      <c r="A13" s="10"/>
      <c r="B13" s="295" t="s">
        <v>289</v>
      </c>
    </row>
    <row r="14" spans="1:25" x14ac:dyDescent="0.25">
      <c r="A14" s="10"/>
      <c r="B14" s="295" t="s">
        <v>290</v>
      </c>
    </row>
    <row r="15" spans="1:25" x14ac:dyDescent="0.25">
      <c r="A15" s="10"/>
      <c r="B15" s="295"/>
    </row>
    <row r="16" spans="1:25" x14ac:dyDescent="0.25">
      <c r="A16" s="10"/>
      <c r="B16" s="295" t="s">
        <v>321</v>
      </c>
    </row>
    <row r="17" spans="1:10" x14ac:dyDescent="0.25">
      <c r="A17" s="10"/>
      <c r="B17" s="295" t="s">
        <v>291</v>
      </c>
    </row>
    <row r="18" spans="1:10" x14ac:dyDescent="0.25">
      <c r="A18" s="10"/>
    </row>
    <row r="19" spans="1:10" x14ac:dyDescent="0.25">
      <c r="A19" s="10" t="s">
        <v>280</v>
      </c>
      <c r="B19" s="7" t="s">
        <v>284</v>
      </c>
    </row>
    <row r="20" spans="1:10" x14ac:dyDescent="0.25">
      <c r="A20" s="10"/>
      <c r="B20" s="7" t="s">
        <v>297</v>
      </c>
    </row>
    <row r="21" spans="1:10" x14ac:dyDescent="0.25">
      <c r="A21" s="10"/>
    </row>
    <row r="22" spans="1:10" x14ac:dyDescent="0.25">
      <c r="A22" s="10" t="s">
        <v>279</v>
      </c>
      <c r="B22" s="7" t="s">
        <v>212</v>
      </c>
    </row>
    <row r="23" spans="1:10" x14ac:dyDescent="0.25">
      <c r="A23" s="10"/>
      <c r="B23" s="7" t="s">
        <v>211</v>
      </c>
    </row>
    <row r="24" spans="1:10" s="14" customFormat="1" x14ac:dyDescent="0.25">
      <c r="A24" s="10"/>
      <c r="B24" s="13" t="s">
        <v>203</v>
      </c>
      <c r="C24" s="13" t="s">
        <v>205</v>
      </c>
      <c r="D24" s="13"/>
      <c r="E24" s="13" t="s">
        <v>250</v>
      </c>
      <c r="F24" s="13"/>
    </row>
    <row r="25" spans="1:10" x14ac:dyDescent="0.25">
      <c r="A25" s="10"/>
      <c r="B25" s="17" t="s">
        <v>251</v>
      </c>
      <c r="C25" s="18" t="s">
        <v>206</v>
      </c>
      <c r="D25" s="17"/>
      <c r="E25" s="17" t="s">
        <v>259</v>
      </c>
      <c r="F25" s="17"/>
    </row>
    <row r="26" spans="1:10" x14ac:dyDescent="0.25">
      <c r="A26" s="10"/>
      <c r="B26" s="15" t="s">
        <v>190</v>
      </c>
      <c r="C26" s="16" t="s">
        <v>206</v>
      </c>
      <c r="D26" s="15"/>
      <c r="E26" s="15" t="s">
        <v>252</v>
      </c>
      <c r="F26" s="15"/>
      <c r="G26" s="17"/>
      <c r="H26" s="17"/>
      <c r="I26" s="17"/>
      <c r="J26" s="17"/>
    </row>
    <row r="27" spans="1:10" x14ac:dyDescent="0.25">
      <c r="A27" s="10"/>
      <c r="B27" s="15" t="s">
        <v>204</v>
      </c>
      <c r="C27" s="16" t="s">
        <v>207</v>
      </c>
      <c r="D27" s="15"/>
      <c r="E27" s="15" t="s">
        <v>253</v>
      </c>
      <c r="F27" s="15"/>
      <c r="G27" s="15"/>
      <c r="H27" s="15"/>
      <c r="I27" s="15"/>
      <c r="J27" s="15"/>
    </row>
    <row r="28" spans="1:10" x14ac:dyDescent="0.25">
      <c r="A28" s="10"/>
      <c r="B28" s="15" t="s">
        <v>129</v>
      </c>
      <c r="C28" s="16" t="s">
        <v>207</v>
      </c>
      <c r="D28" s="15"/>
      <c r="E28" s="15" t="s">
        <v>255</v>
      </c>
      <c r="F28" s="15"/>
      <c r="G28" s="15"/>
      <c r="H28" s="15"/>
      <c r="I28" s="15"/>
      <c r="J28" s="15"/>
    </row>
    <row r="29" spans="1:10" x14ac:dyDescent="0.25">
      <c r="A29" s="10"/>
      <c r="B29" s="15" t="s">
        <v>248</v>
      </c>
      <c r="C29" s="16" t="s">
        <v>206</v>
      </c>
      <c r="D29" s="15"/>
      <c r="E29" s="15" t="s">
        <v>254</v>
      </c>
      <c r="F29" s="15"/>
      <c r="G29" s="15"/>
      <c r="H29" s="15"/>
      <c r="I29" s="15"/>
      <c r="J29" s="15"/>
    </row>
    <row r="30" spans="1:10" x14ac:dyDescent="0.25">
      <c r="A30" s="10"/>
      <c r="B30" s="15" t="s">
        <v>249</v>
      </c>
      <c r="C30" s="16" t="s">
        <v>206</v>
      </c>
      <c r="D30" s="15"/>
      <c r="E30" s="15" t="s">
        <v>256</v>
      </c>
      <c r="F30" s="15"/>
      <c r="G30" s="15"/>
      <c r="H30" s="15"/>
      <c r="I30" s="15"/>
      <c r="J30" s="15"/>
    </row>
    <row r="31" spans="1:10" x14ac:dyDescent="0.25">
      <c r="A31" s="10"/>
      <c r="B31" s="15" t="s">
        <v>226</v>
      </c>
      <c r="C31" s="16" t="s">
        <v>206</v>
      </c>
      <c r="D31" s="15"/>
      <c r="E31" s="15" t="s">
        <v>298</v>
      </c>
      <c r="F31" s="15"/>
      <c r="G31" s="15"/>
      <c r="H31" s="15"/>
      <c r="I31" s="15"/>
      <c r="J31" s="15"/>
    </row>
    <row r="32" spans="1:10" x14ac:dyDescent="0.25">
      <c r="A32" s="10"/>
      <c r="B32" s="15" t="s">
        <v>126</v>
      </c>
      <c r="C32" s="16" t="s">
        <v>206</v>
      </c>
      <c r="D32" s="15"/>
      <c r="E32" s="15" t="s">
        <v>257</v>
      </c>
      <c r="F32" s="15"/>
      <c r="G32" s="15"/>
      <c r="H32" s="15"/>
      <c r="I32" s="15"/>
      <c r="J32" s="15"/>
    </row>
    <row r="33" spans="1:10" x14ac:dyDescent="0.25">
      <c r="A33" s="10"/>
      <c r="B33" s="15" t="s">
        <v>103</v>
      </c>
      <c r="C33" s="16" t="s">
        <v>206</v>
      </c>
      <c r="D33" s="15"/>
      <c r="E33" s="15" t="s">
        <v>258</v>
      </c>
      <c r="F33" s="15"/>
      <c r="G33" s="15"/>
      <c r="H33" s="15"/>
      <c r="I33" s="15"/>
      <c r="J33" s="15"/>
    </row>
    <row r="34" spans="1:10" x14ac:dyDescent="0.25">
      <c r="A34" s="10"/>
    </row>
    <row r="35" spans="1:10" x14ac:dyDescent="0.25">
      <c r="A35" s="10"/>
      <c r="B35" s="290" t="s">
        <v>208</v>
      </c>
    </row>
    <row r="36" spans="1:10" x14ac:dyDescent="0.25">
      <c r="A36" s="10"/>
    </row>
    <row r="37" spans="1:10" x14ac:dyDescent="0.25">
      <c r="A37" s="10" t="s">
        <v>281</v>
      </c>
      <c r="B37" s="7" t="s">
        <v>268</v>
      </c>
    </row>
    <row r="38" spans="1:10" x14ac:dyDescent="0.25">
      <c r="A38" s="10"/>
      <c r="B38" s="7" t="s">
        <v>299</v>
      </c>
    </row>
    <row r="39" spans="1:10" x14ac:dyDescent="0.25">
      <c r="A39" s="10"/>
      <c r="B39" s="7" t="s">
        <v>269</v>
      </c>
      <c r="C39" s="19" t="s">
        <v>270</v>
      </c>
    </row>
    <row r="40" spans="1:10" x14ac:dyDescent="0.25">
      <c r="A40" s="10"/>
    </row>
    <row r="41" spans="1:10" ht="15.75" x14ac:dyDescent="0.25">
      <c r="A41" s="10" t="s">
        <v>282</v>
      </c>
      <c r="B41" s="12" t="s">
        <v>213</v>
      </c>
    </row>
    <row r="42" spans="1:10" ht="15.75" x14ac:dyDescent="0.25">
      <c r="A42" s="10"/>
      <c r="B42" s="12" t="s">
        <v>210</v>
      </c>
    </row>
    <row r="43" spans="1:10" x14ac:dyDescent="0.25">
      <c r="A43" s="10"/>
      <c r="B43" s="7" t="s">
        <v>209</v>
      </c>
    </row>
    <row r="44" spans="1:10" x14ac:dyDescent="0.25">
      <c r="A44" s="10"/>
    </row>
    <row r="45" spans="1:10" x14ac:dyDescent="0.25">
      <c r="A45" s="10" t="s">
        <v>283</v>
      </c>
      <c r="B45" s="7" t="s">
        <v>227</v>
      </c>
    </row>
    <row r="46" spans="1:10" x14ac:dyDescent="0.25">
      <c r="A46" s="10"/>
      <c r="B46" s="7" t="s">
        <v>228</v>
      </c>
    </row>
    <row r="47" spans="1:10" x14ac:dyDescent="0.25">
      <c r="A47" s="10"/>
    </row>
    <row r="48" spans="1:10" x14ac:dyDescent="0.25">
      <c r="A48" s="10" t="s">
        <v>296</v>
      </c>
      <c r="B48" s="7" t="s">
        <v>300</v>
      </c>
    </row>
    <row r="49" spans="1:2" x14ac:dyDescent="0.25">
      <c r="A49" s="10"/>
      <c r="B49" s="20" t="s">
        <v>265</v>
      </c>
    </row>
    <row r="50" spans="1:2" x14ac:dyDescent="0.25">
      <c r="A50" s="10"/>
      <c r="B50" s="20" t="s">
        <v>266</v>
      </c>
    </row>
    <row r="51" spans="1:2" x14ac:dyDescent="0.25">
      <c r="A51" s="21"/>
      <c r="B51" s="7" t="s">
        <v>267</v>
      </c>
    </row>
    <row r="52" spans="1:2" x14ac:dyDescent="0.25">
      <c r="A52" s="21"/>
    </row>
    <row r="53" spans="1:2" x14ac:dyDescent="0.25">
      <c r="A53" s="10"/>
    </row>
    <row r="54" spans="1:2" x14ac:dyDescent="0.25">
      <c r="A54" s="21"/>
    </row>
    <row r="55" spans="1:2" x14ac:dyDescent="0.25">
      <c r="A55" s="21"/>
    </row>
    <row r="56" spans="1:2" x14ac:dyDescent="0.25">
      <c r="A56" s="21"/>
    </row>
    <row r="57" spans="1:2" x14ac:dyDescent="0.25">
      <c r="A57" s="21"/>
    </row>
  </sheetData>
  <hyperlinks>
    <hyperlink ref="C39" r:id="rId1"/>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45"/>
  <sheetViews>
    <sheetView showGridLines="0" workbookViewId="0"/>
  </sheetViews>
  <sheetFormatPr defaultRowHeight="15" x14ac:dyDescent="0.25"/>
  <cols>
    <col min="1" max="1" width="9.140625" style="32" customWidth="1"/>
    <col min="2" max="2" width="76.5703125" style="32" customWidth="1"/>
    <col min="3" max="3" width="40.42578125" style="32" customWidth="1"/>
    <col min="4" max="16384" width="9.140625" style="44"/>
  </cols>
  <sheetData>
    <row r="1" spans="1:25" s="28" customFormat="1" ht="30" customHeight="1" thickBot="1" x14ac:dyDescent="0.3">
      <c r="A1" s="22" t="s">
        <v>190</v>
      </c>
      <c r="B1" s="23"/>
      <c r="C1" s="24" t="s">
        <v>325</v>
      </c>
      <c r="D1" s="25"/>
      <c r="E1" s="26"/>
      <c r="F1" s="27"/>
      <c r="G1" s="27"/>
      <c r="H1" s="27"/>
      <c r="I1" s="27"/>
      <c r="J1" s="27"/>
      <c r="K1" s="27"/>
      <c r="L1" s="27"/>
      <c r="M1" s="27"/>
      <c r="N1" s="27"/>
      <c r="O1" s="27"/>
      <c r="P1" s="27"/>
      <c r="Q1" s="27"/>
      <c r="R1" s="27"/>
      <c r="S1" s="27"/>
      <c r="T1" s="27"/>
      <c r="U1" s="27"/>
      <c r="V1" s="27"/>
      <c r="W1" s="27"/>
      <c r="X1" s="27"/>
      <c r="Y1" s="27"/>
    </row>
    <row r="2" spans="1:25" s="32" customFormat="1" ht="15.75" thickTop="1" x14ac:dyDescent="0.25">
      <c r="A2" s="29" t="s">
        <v>37</v>
      </c>
      <c r="B2" s="30"/>
      <c r="C2" s="31"/>
      <c r="G2" s="31"/>
    </row>
    <row r="3" spans="1:25" s="32" customFormat="1" ht="16.5" thickBot="1" x14ac:dyDescent="0.3">
      <c r="A3" s="33" t="s">
        <v>60</v>
      </c>
      <c r="B3" s="34"/>
      <c r="C3" s="35"/>
      <c r="D3" s="36"/>
    </row>
    <row r="4" spans="1:25" s="38" customFormat="1" ht="30.75" customHeight="1" thickTop="1" x14ac:dyDescent="0.25">
      <c r="A4" s="37" t="str">
        <f>IF(B4&lt;&gt;"",1,"")</f>
        <v/>
      </c>
      <c r="B4" s="311"/>
      <c r="C4" s="312"/>
    </row>
    <row r="5" spans="1:25" s="38" customFormat="1" ht="30.75" customHeight="1" x14ac:dyDescent="0.25">
      <c r="A5" s="39"/>
      <c r="B5" s="313"/>
      <c r="C5" s="314"/>
    </row>
    <row r="6" spans="1:25" s="38" customFormat="1" ht="30.75" customHeight="1" x14ac:dyDescent="0.25">
      <c r="A6" s="40" t="str">
        <f>IF(B6&lt;&gt;"",A4+1,"")</f>
        <v/>
      </c>
      <c r="B6" s="311"/>
      <c r="C6" s="312"/>
    </row>
    <row r="7" spans="1:25" s="38" customFormat="1" ht="30.75" customHeight="1" x14ac:dyDescent="0.25">
      <c r="A7" s="41"/>
      <c r="B7" s="313"/>
      <c r="C7" s="314"/>
    </row>
    <row r="8" spans="1:25" s="38" customFormat="1" ht="30.75" customHeight="1" x14ac:dyDescent="0.25">
      <c r="A8" s="40" t="str">
        <f>IF(B8&lt;&gt;"",A6+1,"")</f>
        <v/>
      </c>
      <c r="B8" s="311"/>
      <c r="C8" s="312"/>
    </row>
    <row r="9" spans="1:25" s="38" customFormat="1" ht="30.75" customHeight="1" x14ac:dyDescent="0.25">
      <c r="A9" s="41"/>
      <c r="B9" s="313"/>
      <c r="C9" s="314"/>
    </row>
    <row r="10" spans="1:25" s="38" customFormat="1" ht="30.75" customHeight="1" x14ac:dyDescent="0.25">
      <c r="A10" s="40" t="str">
        <f>IF(B10&lt;&gt;"",A8+1,"")</f>
        <v/>
      </c>
      <c r="B10" s="311"/>
      <c r="C10" s="312"/>
    </row>
    <row r="11" spans="1:25" s="38" customFormat="1" ht="30.75" customHeight="1" x14ac:dyDescent="0.25">
      <c r="A11" s="41"/>
      <c r="B11" s="313"/>
      <c r="C11" s="314"/>
    </row>
    <row r="12" spans="1:25" s="38" customFormat="1" ht="30.75" customHeight="1" x14ac:dyDescent="0.25">
      <c r="A12" s="40" t="str">
        <f>IF(B12&lt;&gt;"",A10+1,"")</f>
        <v/>
      </c>
      <c r="B12" s="311"/>
      <c r="C12" s="312"/>
    </row>
    <row r="13" spans="1:25" s="38" customFormat="1" ht="30.75" customHeight="1" x14ac:dyDescent="0.25">
      <c r="A13" s="41"/>
      <c r="B13" s="313"/>
      <c r="C13" s="314"/>
    </row>
    <row r="14" spans="1:25" s="38" customFormat="1" ht="30.75" customHeight="1" x14ac:dyDescent="0.25">
      <c r="A14" s="42"/>
      <c r="B14" s="43"/>
      <c r="C14" s="43"/>
    </row>
    <row r="15" spans="1:25" ht="16.5" thickBot="1" x14ac:dyDescent="0.3">
      <c r="A15" s="33" t="s">
        <v>61</v>
      </c>
      <c r="B15" s="34"/>
      <c r="C15" s="35"/>
    </row>
    <row r="16" spans="1:25" s="38" customFormat="1" ht="30.75" customHeight="1" thickTop="1" x14ac:dyDescent="0.25">
      <c r="A16" s="37" t="str">
        <f>IF(B16&lt;&gt;"",1,"")</f>
        <v/>
      </c>
      <c r="B16" s="311"/>
      <c r="C16" s="312"/>
    </row>
    <row r="17" spans="1:3" s="38" customFormat="1" ht="30.75" customHeight="1" x14ac:dyDescent="0.25">
      <c r="A17" s="39"/>
      <c r="B17" s="313"/>
      <c r="C17" s="314"/>
    </row>
    <row r="18" spans="1:3" s="38" customFormat="1" ht="30.75" customHeight="1" x14ac:dyDescent="0.25">
      <c r="A18" s="40" t="str">
        <f>IF(B18&lt;&gt;"",A16+1,"")</f>
        <v/>
      </c>
      <c r="B18" s="311"/>
      <c r="C18" s="312"/>
    </row>
    <row r="19" spans="1:3" s="38" customFormat="1" ht="30.75" customHeight="1" x14ac:dyDescent="0.25">
      <c r="A19" s="41"/>
      <c r="B19" s="313"/>
      <c r="C19" s="314"/>
    </row>
    <row r="20" spans="1:3" s="38" customFormat="1" ht="30.75" customHeight="1" x14ac:dyDescent="0.25">
      <c r="A20" s="40" t="str">
        <f>IF(B20&lt;&gt;"",A18+1,"")</f>
        <v/>
      </c>
      <c r="B20" s="311"/>
      <c r="C20" s="312"/>
    </row>
    <row r="21" spans="1:3" s="38" customFormat="1" ht="30.75" customHeight="1" x14ac:dyDescent="0.25">
      <c r="A21" s="41"/>
      <c r="B21" s="313"/>
      <c r="C21" s="314"/>
    </row>
    <row r="22" spans="1:3" s="38" customFormat="1" ht="30.75" customHeight="1" x14ac:dyDescent="0.25">
      <c r="A22" s="40" t="str">
        <f>IF(B22&lt;&gt;"",A20+1,"")</f>
        <v/>
      </c>
      <c r="B22" s="311"/>
      <c r="C22" s="312"/>
    </row>
    <row r="23" spans="1:3" s="38" customFormat="1" ht="30.75" customHeight="1" x14ac:dyDescent="0.25">
      <c r="A23" s="41"/>
      <c r="B23" s="313"/>
      <c r="C23" s="314"/>
    </row>
    <row r="24" spans="1:3" s="38" customFormat="1" ht="30.75" customHeight="1" x14ac:dyDescent="0.25">
      <c r="A24" s="40" t="str">
        <f>IF(B24&lt;&gt;"",A22+1,"")</f>
        <v/>
      </c>
      <c r="B24" s="311"/>
      <c r="C24" s="312"/>
    </row>
    <row r="25" spans="1:3" s="38" customFormat="1" ht="30.75" customHeight="1" x14ac:dyDescent="0.25">
      <c r="A25" s="41"/>
      <c r="B25" s="313"/>
      <c r="C25" s="314"/>
    </row>
    <row r="45" spans="3:3" x14ac:dyDescent="0.25">
      <c r="C45" s="45"/>
    </row>
  </sheetData>
  <mergeCells count="20">
    <mergeCell ref="B23:C23"/>
    <mergeCell ref="B24:C24"/>
    <mergeCell ref="B25:C25"/>
    <mergeCell ref="B17:C17"/>
    <mergeCell ref="B18:C18"/>
    <mergeCell ref="B19:C19"/>
    <mergeCell ref="B20:C20"/>
    <mergeCell ref="B21:C21"/>
    <mergeCell ref="B22:C22"/>
    <mergeCell ref="B16:C16"/>
    <mergeCell ref="B4:C4"/>
    <mergeCell ref="B5:C5"/>
    <mergeCell ref="B6:C6"/>
    <mergeCell ref="B8:C8"/>
    <mergeCell ref="B9:C9"/>
    <mergeCell ref="B10:C10"/>
    <mergeCell ref="B11:C11"/>
    <mergeCell ref="B12:C12"/>
    <mergeCell ref="B13:C13"/>
    <mergeCell ref="B7:C7"/>
  </mergeCells>
  <pageMargins left="0" right="0" top="0.5" bottom="0.5" header="0.3" footer="0.3"/>
  <pageSetup orientation="portrait" horizontalDpi="4294967293" verticalDpi="1200" r:id="rId1"/>
  <headerFooter>
    <oddFooter>&amp;L&amp;D &amp;T&amp;C&amp;F &amp;A&amp;R&amp;P of &amp;N</oddFooter>
  </headerFooter>
  <ignoredErrors>
    <ignoredError sqref="A4:A13 A16:A25"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41"/>
  <sheetViews>
    <sheetView workbookViewId="0">
      <selection activeCell="B11" sqref="B11"/>
    </sheetView>
  </sheetViews>
  <sheetFormatPr defaultRowHeight="15" x14ac:dyDescent="0.25"/>
  <cols>
    <col min="1" max="1" width="15" bestFit="1" customWidth="1"/>
    <col min="2" max="2" width="10.7109375" bestFit="1" customWidth="1"/>
    <col min="3" max="4" width="9.85546875" bestFit="1" customWidth="1"/>
    <col min="5" max="5" width="15.85546875" bestFit="1" customWidth="1"/>
  </cols>
  <sheetData>
    <row r="1" spans="1:5" x14ac:dyDescent="0.25">
      <c r="A1">
        <v>42</v>
      </c>
    </row>
    <row r="2" spans="1:5" x14ac:dyDescent="0.25">
      <c r="A2" t="s">
        <v>192</v>
      </c>
      <c r="B2" t="s">
        <v>193</v>
      </c>
      <c r="C2" t="s">
        <v>194</v>
      </c>
      <c r="D2" t="s">
        <v>195</v>
      </c>
      <c r="E2" t="s">
        <v>196</v>
      </c>
    </row>
    <row r="3" spans="1:5" x14ac:dyDescent="0.25">
      <c r="A3" t="s">
        <v>286</v>
      </c>
      <c r="B3" t="s">
        <v>197</v>
      </c>
      <c r="C3" t="s">
        <v>198</v>
      </c>
      <c r="D3" t="s">
        <v>199</v>
      </c>
      <c r="E3" s="293">
        <v>42527.690798611111</v>
      </c>
    </row>
    <row r="38" spans="1:5" x14ac:dyDescent="0.25">
      <c r="A38" t="s">
        <v>200</v>
      </c>
      <c r="B38" t="s">
        <v>197</v>
      </c>
      <c r="C38" t="s">
        <v>198</v>
      </c>
      <c r="D38" t="s">
        <v>199</v>
      </c>
      <c r="E38" s="293">
        <v>42527.694699074076</v>
      </c>
    </row>
    <row r="39" spans="1:5" x14ac:dyDescent="0.25">
      <c r="A39" t="s">
        <v>286</v>
      </c>
      <c r="B39" t="s">
        <v>197</v>
      </c>
      <c r="C39" t="s">
        <v>198</v>
      </c>
      <c r="D39" t="s">
        <v>199</v>
      </c>
      <c r="E39" s="293">
        <v>42530.30259259259</v>
      </c>
    </row>
    <row r="40" spans="1:5" x14ac:dyDescent="0.25">
      <c r="A40" t="s">
        <v>200</v>
      </c>
      <c r="B40" t="s">
        <v>197</v>
      </c>
      <c r="C40" t="s">
        <v>198</v>
      </c>
      <c r="D40" t="s">
        <v>199</v>
      </c>
      <c r="E40" s="293">
        <v>42530.343807870369</v>
      </c>
    </row>
    <row r="41" spans="1:5" x14ac:dyDescent="0.25">
      <c r="A41" t="s">
        <v>286</v>
      </c>
      <c r="B41" t="s">
        <v>197</v>
      </c>
      <c r="C41" t="s">
        <v>198</v>
      </c>
      <c r="D41" t="s">
        <v>199</v>
      </c>
      <c r="E41" s="293">
        <v>42577.334328703706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74"/>
  <sheetViews>
    <sheetView showGridLines="0" zoomScale="90" zoomScaleNormal="90" zoomScaleSheetLayoutView="70" workbookViewId="0">
      <selection sqref="A1:D1"/>
    </sheetView>
  </sheetViews>
  <sheetFormatPr defaultColWidth="9.140625" defaultRowHeight="15" x14ac:dyDescent="0.25"/>
  <cols>
    <col min="1" max="1" width="78" style="46" customWidth="1"/>
    <col min="2" max="2" width="37.42578125" style="46" customWidth="1"/>
    <col min="3" max="3" width="21.7109375" style="46" customWidth="1"/>
    <col min="4" max="4" width="37" style="46" customWidth="1"/>
    <col min="5" max="5" width="21.140625" style="46" customWidth="1"/>
    <col min="6" max="6" width="40.7109375" style="46" customWidth="1"/>
    <col min="7" max="7" width="9.5703125" style="46" customWidth="1"/>
    <col min="8" max="12" width="9.140625" style="46"/>
    <col min="13" max="13" width="9.28515625" style="46" customWidth="1"/>
    <col min="14" max="16384" width="9.140625" style="46"/>
  </cols>
  <sheetData>
    <row r="1" spans="1:7" ht="31.5" x14ac:dyDescent="0.25">
      <c r="A1" s="329" t="s">
        <v>189</v>
      </c>
      <c r="B1" s="330"/>
      <c r="C1" s="330"/>
      <c r="D1" s="331"/>
      <c r="G1" s="46" t="s">
        <v>130</v>
      </c>
    </row>
    <row r="2" spans="1:7" ht="66.2" customHeight="1" x14ac:dyDescent="0.25">
      <c r="A2" s="332" t="s">
        <v>131</v>
      </c>
      <c r="B2" s="332"/>
      <c r="C2" s="332"/>
      <c r="D2" s="332"/>
    </row>
    <row r="3" spans="1:7" ht="6.75" customHeight="1" x14ac:dyDescent="0.25">
      <c r="A3" s="47"/>
      <c r="B3" s="47"/>
      <c r="C3" s="47"/>
      <c r="D3" s="47"/>
    </row>
    <row r="4" spans="1:7" ht="15.75" x14ac:dyDescent="0.25">
      <c r="A4" s="291" t="s">
        <v>132</v>
      </c>
      <c r="B4" s="333" t="s">
        <v>133</v>
      </c>
      <c r="C4" s="334"/>
      <c r="D4" s="334"/>
    </row>
    <row r="5" spans="1:7" x14ac:dyDescent="0.25">
      <c r="A5" s="48" t="s">
        <v>134</v>
      </c>
      <c r="B5" s="334"/>
      <c r="C5" s="334"/>
      <c r="D5" s="334"/>
      <c r="E5" s="49"/>
      <c r="F5" s="49"/>
    </row>
    <row r="6" spans="1:7" x14ac:dyDescent="0.25">
      <c r="A6" s="50" t="s">
        <v>135</v>
      </c>
      <c r="B6" s="335"/>
      <c r="C6" s="335"/>
      <c r="D6" s="335"/>
    </row>
    <row r="7" spans="1:7" ht="30.75" customHeight="1" x14ac:dyDescent="0.25">
      <c r="A7" s="50" t="s">
        <v>136</v>
      </c>
      <c r="B7" s="335"/>
      <c r="C7" s="335"/>
      <c r="D7" s="335"/>
    </row>
    <row r="8" spans="1:7" ht="60" customHeight="1" x14ac:dyDescent="0.25">
      <c r="A8" s="50" t="s">
        <v>137</v>
      </c>
      <c r="B8" s="336" t="s">
        <v>138</v>
      </c>
      <c r="C8" s="336"/>
      <c r="D8" s="336"/>
    </row>
    <row r="9" spans="1:7" ht="367.5" customHeight="1" x14ac:dyDescent="0.25">
      <c r="A9" s="50" t="s">
        <v>139</v>
      </c>
      <c r="B9" s="336" t="s">
        <v>140</v>
      </c>
      <c r="C9" s="336"/>
      <c r="D9" s="336"/>
    </row>
    <row r="10" spans="1:7" ht="6.75" customHeight="1" x14ac:dyDescent="0.25">
      <c r="A10" s="328"/>
      <c r="B10" s="328"/>
      <c r="C10" s="328"/>
      <c r="D10" s="328"/>
    </row>
    <row r="11" spans="1:7" ht="169.5" customHeight="1" x14ac:dyDescent="0.25">
      <c r="A11" s="51" t="s">
        <v>141</v>
      </c>
      <c r="B11" s="335"/>
      <c r="C11" s="335"/>
      <c r="D11" s="335"/>
    </row>
    <row r="12" spans="1:7" ht="140.25" customHeight="1" x14ac:dyDescent="0.25">
      <c r="A12" s="51" t="s">
        <v>142</v>
      </c>
      <c r="B12" s="335"/>
      <c r="C12" s="335"/>
      <c r="D12" s="335"/>
    </row>
    <row r="13" spans="1:7" ht="6.75" customHeight="1" x14ac:dyDescent="0.25">
      <c r="A13" s="328"/>
      <c r="B13" s="328"/>
      <c r="C13" s="328"/>
      <c r="D13" s="328"/>
    </row>
    <row r="14" spans="1:7" ht="14.25" customHeight="1" x14ac:dyDescent="0.25">
      <c r="A14" s="320" t="s">
        <v>143</v>
      </c>
      <c r="B14" s="321"/>
      <c r="C14" s="321"/>
      <c r="D14" s="322"/>
      <c r="E14" s="52"/>
      <c r="F14" s="52"/>
    </row>
    <row r="15" spans="1:7" ht="14.25" customHeight="1" x14ac:dyDescent="0.25">
      <c r="A15" s="53" t="s">
        <v>144</v>
      </c>
      <c r="B15" s="53" t="s">
        <v>107</v>
      </c>
      <c r="C15" s="53" t="s">
        <v>125</v>
      </c>
      <c r="D15" s="53" t="s">
        <v>124</v>
      </c>
      <c r="E15" s="52"/>
      <c r="F15" s="52"/>
    </row>
    <row r="16" spans="1:7" x14ac:dyDescent="0.25">
      <c r="A16" s="54" t="s">
        <v>145</v>
      </c>
      <c r="B16" s="55" t="s">
        <v>146</v>
      </c>
      <c r="C16" s="55" t="s">
        <v>80</v>
      </c>
      <c r="D16" s="55" t="s">
        <v>147</v>
      </c>
      <c r="E16" s="56"/>
      <c r="F16" s="56"/>
    </row>
    <row r="17" spans="1:8" x14ac:dyDescent="0.25">
      <c r="A17" s="55" t="s">
        <v>148</v>
      </c>
      <c r="B17" s="55" t="s">
        <v>149</v>
      </c>
      <c r="C17" s="55" t="s">
        <v>150</v>
      </c>
      <c r="D17" s="55" t="s">
        <v>151</v>
      </c>
      <c r="E17" s="56"/>
      <c r="F17" s="56"/>
    </row>
    <row r="18" spans="1:8" ht="6.75" customHeight="1" x14ac:dyDescent="0.25">
      <c r="A18" s="47"/>
      <c r="B18" s="47"/>
      <c r="C18" s="47"/>
      <c r="D18" s="47"/>
    </row>
    <row r="19" spans="1:8" ht="15.75" x14ac:dyDescent="0.25">
      <c r="A19" s="291" t="s">
        <v>152</v>
      </c>
      <c r="B19" s="323" t="s">
        <v>133</v>
      </c>
      <c r="C19" s="323"/>
      <c r="D19" s="323"/>
    </row>
    <row r="20" spans="1:8" x14ac:dyDescent="0.25">
      <c r="A20" s="48" t="s">
        <v>134</v>
      </c>
      <c r="B20" s="324"/>
      <c r="C20" s="324"/>
      <c r="D20" s="324"/>
    </row>
    <row r="21" spans="1:8" x14ac:dyDescent="0.25">
      <c r="A21" s="325" t="s">
        <v>153</v>
      </c>
      <c r="B21" s="325"/>
      <c r="C21" s="325"/>
      <c r="D21" s="325"/>
    </row>
    <row r="22" spans="1:8" s="58" customFormat="1" ht="121.7" customHeight="1" x14ac:dyDescent="0.25">
      <c r="A22" s="57" t="s">
        <v>154</v>
      </c>
      <c r="B22" s="315" t="s">
        <v>155</v>
      </c>
      <c r="C22" s="315"/>
      <c r="D22" s="315"/>
    </row>
    <row r="23" spans="1:8" s="58" customFormat="1" ht="158.25" customHeight="1" x14ac:dyDescent="0.25">
      <c r="A23" s="57" t="s">
        <v>156</v>
      </c>
      <c r="B23" s="315" t="s">
        <v>157</v>
      </c>
      <c r="C23" s="315"/>
      <c r="D23" s="315"/>
    </row>
    <row r="24" spans="1:8" s="58" customFormat="1" ht="191.25" customHeight="1" x14ac:dyDescent="0.25">
      <c r="A24" s="57" t="s">
        <v>158</v>
      </c>
      <c r="B24" s="315" t="s">
        <v>159</v>
      </c>
      <c r="C24" s="315"/>
      <c r="D24" s="315"/>
    </row>
    <row r="25" spans="1:8" ht="6.75" customHeight="1" x14ac:dyDescent="0.25">
      <c r="A25" s="319"/>
      <c r="B25" s="319"/>
      <c r="C25" s="319"/>
      <c r="D25" s="319"/>
      <c r="E25" s="58"/>
    </row>
    <row r="26" spans="1:8" s="58" customFormat="1" x14ac:dyDescent="0.25">
      <c r="A26" s="315" t="s">
        <v>143</v>
      </c>
      <c r="B26" s="315"/>
      <c r="C26" s="315"/>
      <c r="D26" s="315"/>
      <c r="E26" s="46"/>
    </row>
    <row r="27" spans="1:8" s="58" customFormat="1" x14ac:dyDescent="0.25">
      <c r="A27" s="53" t="s">
        <v>160</v>
      </c>
      <c r="B27" s="53" t="s">
        <v>161</v>
      </c>
      <c r="C27" s="53" t="s">
        <v>162</v>
      </c>
      <c r="D27" s="292"/>
      <c r="E27" s="46"/>
    </row>
    <row r="28" spans="1:8" s="58" customFormat="1" x14ac:dyDescent="0.25">
      <c r="A28" s="55" t="s">
        <v>80</v>
      </c>
      <c r="B28" s="55" t="s">
        <v>163</v>
      </c>
      <c r="C28" s="55" t="s">
        <v>32</v>
      </c>
      <c r="D28" s="55"/>
    </row>
    <row r="29" spans="1:8" s="58" customFormat="1" x14ac:dyDescent="0.25">
      <c r="A29" s="55" t="s">
        <v>147</v>
      </c>
      <c r="B29" s="55" t="s">
        <v>164</v>
      </c>
      <c r="C29" s="55" t="s">
        <v>32</v>
      </c>
      <c r="D29" s="55"/>
    </row>
    <row r="30" spans="1:8" x14ac:dyDescent="0.25">
      <c r="A30" s="55" t="s">
        <v>165</v>
      </c>
      <c r="B30" s="55" t="s">
        <v>166</v>
      </c>
      <c r="C30" s="292"/>
      <c r="D30" s="292"/>
    </row>
    <row r="31" spans="1:8" x14ac:dyDescent="0.25">
      <c r="A31" s="55" t="s">
        <v>167</v>
      </c>
      <c r="B31" s="55" t="s">
        <v>168</v>
      </c>
      <c r="C31" s="292"/>
      <c r="D31" s="292"/>
      <c r="H31" s="59"/>
    </row>
    <row r="32" spans="1:8" ht="6.75" customHeight="1" x14ac:dyDescent="0.25">
      <c r="A32" s="47"/>
      <c r="B32" s="60"/>
      <c r="C32" s="60"/>
      <c r="D32" s="60"/>
    </row>
    <row r="33" spans="1:10" ht="15.75" x14ac:dyDescent="0.25">
      <c r="A33" s="291" t="s">
        <v>169</v>
      </c>
      <c r="B33" s="323" t="s">
        <v>133</v>
      </c>
      <c r="C33" s="323"/>
      <c r="D33" s="323"/>
    </row>
    <row r="34" spans="1:10" x14ac:dyDescent="0.25">
      <c r="A34" s="326" t="s">
        <v>134</v>
      </c>
      <c r="B34" s="327"/>
      <c r="C34" s="327"/>
      <c r="D34" s="327"/>
    </row>
    <row r="35" spans="1:10" ht="94.7" customHeight="1" x14ac:dyDescent="0.25">
      <c r="A35" s="57" t="s">
        <v>170</v>
      </c>
      <c r="B35" s="315" t="s">
        <v>171</v>
      </c>
      <c r="C35" s="315"/>
      <c r="D35" s="315"/>
      <c r="J35" s="61"/>
    </row>
    <row r="36" spans="1:10" x14ac:dyDescent="0.25">
      <c r="A36" s="57" t="s">
        <v>172</v>
      </c>
      <c r="B36" s="315" t="s">
        <v>173</v>
      </c>
      <c r="C36" s="315"/>
      <c r="D36" s="315"/>
      <c r="J36" s="62"/>
    </row>
    <row r="37" spans="1:10" x14ac:dyDescent="0.25">
      <c r="A37" s="57" t="s">
        <v>174</v>
      </c>
      <c r="B37" s="316"/>
      <c r="C37" s="317"/>
      <c r="D37" s="318"/>
      <c r="J37" s="62"/>
    </row>
    <row r="38" spans="1:10" x14ac:dyDescent="0.25">
      <c r="A38" s="57" t="s">
        <v>175</v>
      </c>
      <c r="B38" s="316"/>
      <c r="C38" s="317"/>
      <c r="D38" s="318"/>
      <c r="J38" s="62"/>
    </row>
    <row r="39" spans="1:10" ht="6.75" customHeight="1" x14ac:dyDescent="0.25">
      <c r="A39" s="319"/>
      <c r="B39" s="319"/>
      <c r="C39" s="319"/>
      <c r="D39" s="319"/>
    </row>
    <row r="40" spans="1:10" x14ac:dyDescent="0.25">
      <c r="A40" s="315" t="s">
        <v>143</v>
      </c>
      <c r="B40" s="315"/>
      <c r="C40" s="315"/>
      <c r="D40" s="315"/>
      <c r="J40" s="62"/>
    </row>
    <row r="41" spans="1:10" x14ac:dyDescent="0.25">
      <c r="A41" s="63" t="s">
        <v>176</v>
      </c>
      <c r="B41" s="63" t="s">
        <v>177</v>
      </c>
      <c r="C41" s="63" t="s">
        <v>178</v>
      </c>
      <c r="D41" s="63" t="s">
        <v>179</v>
      </c>
      <c r="E41" s="64"/>
      <c r="F41" s="64"/>
      <c r="J41" s="62"/>
    </row>
    <row r="42" spans="1:10" x14ac:dyDescent="0.25">
      <c r="A42" s="65" t="s">
        <v>180</v>
      </c>
      <c r="B42" s="66" t="s">
        <v>181</v>
      </c>
      <c r="C42" s="292" t="s">
        <v>182</v>
      </c>
      <c r="D42" s="292" t="s">
        <v>183</v>
      </c>
      <c r="E42" s="59"/>
      <c r="F42" s="59"/>
      <c r="J42" s="59"/>
    </row>
    <row r="43" spans="1:10" x14ac:dyDescent="0.25">
      <c r="A43" s="65" t="s">
        <v>184</v>
      </c>
      <c r="B43" s="292"/>
      <c r="C43" s="292" t="s">
        <v>185</v>
      </c>
      <c r="D43" s="292" t="s">
        <v>186</v>
      </c>
      <c r="E43" s="59"/>
      <c r="F43" s="59"/>
      <c r="J43" s="59"/>
    </row>
    <row r="44" spans="1:10" ht="6.75" customHeight="1" x14ac:dyDescent="0.25">
      <c r="A44" s="47"/>
      <c r="B44" s="60"/>
      <c r="C44" s="60"/>
      <c r="D44" s="60"/>
    </row>
    <row r="45" spans="1:10" x14ac:dyDescent="0.25">
      <c r="A45" s="67"/>
      <c r="B45" s="67"/>
      <c r="E45" s="62"/>
      <c r="F45" s="62"/>
      <c r="J45" s="59"/>
    </row>
    <row r="46" spans="1:10" x14ac:dyDescent="0.25">
      <c r="A46" s="67"/>
      <c r="B46" s="67"/>
      <c r="D46" s="68"/>
      <c r="E46" s="62"/>
      <c r="F46" s="62"/>
      <c r="J46" s="59"/>
    </row>
    <row r="47" spans="1:10" x14ac:dyDescent="0.25">
      <c r="A47" s="67"/>
      <c r="B47" s="67"/>
      <c r="D47" s="69" t="s">
        <v>285</v>
      </c>
      <c r="E47" s="62"/>
      <c r="F47" s="62"/>
      <c r="J47" s="59"/>
    </row>
    <row r="48" spans="1:10" x14ac:dyDescent="0.25">
      <c r="A48" s="67"/>
      <c r="B48" s="67"/>
      <c r="C48" s="52"/>
      <c r="D48" s="70" t="s">
        <v>187</v>
      </c>
      <c r="E48" s="52"/>
      <c r="F48" s="52"/>
      <c r="J48" s="59"/>
    </row>
    <row r="49" spans="1:6" x14ac:dyDescent="0.25">
      <c r="A49" s="58"/>
      <c r="B49" s="58"/>
      <c r="C49" s="71"/>
      <c r="D49" s="70" t="s">
        <v>188</v>
      </c>
      <c r="E49" s="56"/>
      <c r="F49" s="56"/>
    </row>
    <row r="50" spans="1:6" x14ac:dyDescent="0.25">
      <c r="A50" s="58"/>
      <c r="B50" s="58"/>
      <c r="C50" s="56"/>
      <c r="D50" s="56"/>
      <c r="E50" s="56"/>
      <c r="F50" s="56"/>
    </row>
    <row r="51" spans="1:6" x14ac:dyDescent="0.25">
      <c r="C51" s="52"/>
      <c r="D51" s="52"/>
      <c r="E51" s="52"/>
      <c r="F51" s="52"/>
    </row>
    <row r="52" spans="1:6" x14ac:dyDescent="0.25">
      <c r="C52" s="52"/>
      <c r="D52" s="52"/>
      <c r="E52" s="52"/>
      <c r="F52" s="52"/>
    </row>
    <row r="53" spans="1:6" x14ac:dyDescent="0.25">
      <c r="C53" s="71"/>
      <c r="D53" s="56"/>
      <c r="E53" s="56"/>
      <c r="F53" s="56"/>
    </row>
    <row r="54" spans="1:6" x14ac:dyDescent="0.25">
      <c r="C54" s="56"/>
      <c r="D54" s="56"/>
      <c r="E54" s="56"/>
      <c r="F54" s="56"/>
    </row>
    <row r="55" spans="1:6" x14ac:dyDescent="0.25">
      <c r="C55" s="59"/>
      <c r="D55" s="59"/>
      <c r="E55" s="59"/>
      <c r="F55" s="59"/>
    </row>
    <row r="56" spans="1:6" x14ac:dyDescent="0.25">
      <c r="E56" s="59"/>
      <c r="F56" s="59"/>
    </row>
    <row r="57" spans="1:6" x14ac:dyDescent="0.25">
      <c r="E57" s="59"/>
      <c r="F57" s="59"/>
    </row>
    <row r="60" spans="1:6" x14ac:dyDescent="0.25">
      <c r="E60" s="72"/>
      <c r="F60" s="72"/>
    </row>
    <row r="61" spans="1:6" x14ac:dyDescent="0.25">
      <c r="E61" s="72"/>
      <c r="F61" s="72"/>
    </row>
    <row r="62" spans="1:6" x14ac:dyDescent="0.25">
      <c r="E62" s="72"/>
      <c r="F62" s="72"/>
    </row>
    <row r="63" spans="1:6" x14ac:dyDescent="0.25">
      <c r="E63" s="72"/>
      <c r="F63" s="72"/>
    </row>
    <row r="64" spans="1:6" x14ac:dyDescent="0.25">
      <c r="E64" s="72"/>
      <c r="F64" s="72"/>
    </row>
    <row r="65" spans="5:6" x14ac:dyDescent="0.25">
      <c r="E65" s="72"/>
      <c r="F65" s="72"/>
    </row>
    <row r="66" spans="5:6" x14ac:dyDescent="0.25">
      <c r="E66" s="72"/>
      <c r="F66" s="72"/>
    </row>
    <row r="67" spans="5:6" x14ac:dyDescent="0.25">
      <c r="E67" s="72"/>
      <c r="F67" s="72"/>
    </row>
    <row r="72" spans="5:6" x14ac:dyDescent="0.25">
      <c r="E72" s="59"/>
    </row>
    <row r="73" spans="5:6" x14ac:dyDescent="0.25">
      <c r="E73" s="59"/>
    </row>
    <row r="74" spans="5:6" x14ac:dyDescent="0.25">
      <c r="E74" s="59"/>
    </row>
  </sheetData>
  <sheetProtection selectLockedCells="1" selectUnlockedCells="1"/>
  <mergeCells count="29">
    <mergeCell ref="A13:D13"/>
    <mergeCell ref="A1:D1"/>
    <mergeCell ref="A2:D2"/>
    <mergeCell ref="B4:D4"/>
    <mergeCell ref="B5:D5"/>
    <mergeCell ref="B6:D6"/>
    <mergeCell ref="B7:D7"/>
    <mergeCell ref="B8:D8"/>
    <mergeCell ref="B9:D9"/>
    <mergeCell ref="A10:D10"/>
    <mergeCell ref="B11:D11"/>
    <mergeCell ref="B12:D12"/>
    <mergeCell ref="B35:D35"/>
    <mergeCell ref="A14:D14"/>
    <mergeCell ref="B19:D19"/>
    <mergeCell ref="B20:D20"/>
    <mergeCell ref="A21:D21"/>
    <mergeCell ref="B22:D22"/>
    <mergeCell ref="B23:D23"/>
    <mergeCell ref="B24:D24"/>
    <mergeCell ref="A25:D25"/>
    <mergeCell ref="A26:D26"/>
    <mergeCell ref="B33:D33"/>
    <mergeCell ref="A34:D34"/>
    <mergeCell ref="B36:D36"/>
    <mergeCell ref="B37:D37"/>
    <mergeCell ref="B38:D38"/>
    <mergeCell ref="A39:D39"/>
    <mergeCell ref="A40:D40"/>
  </mergeCells>
  <pageMargins left="0.7" right="0.7" top="0.75" bottom="0.75" header="0.3" footer="0.3"/>
  <pageSetup orientation="landscape" r:id="rId1"/>
  <headerFooter>
    <oddFooter>&amp;C©2013 Leepfrog Technologies, Inc.
CONFIDENTIAL AND PROPRIETARY</oddFooter>
  </headerFooter>
  <colBreaks count="1" manualBreakCount="1">
    <brk id="4"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T62"/>
  <sheetViews>
    <sheetView topLeftCell="A9" workbookViewId="0">
      <selection activeCell="D29" sqref="D29"/>
    </sheetView>
  </sheetViews>
  <sheetFormatPr defaultRowHeight="15" x14ac:dyDescent="0.25"/>
  <cols>
    <col min="1" max="1" width="48.7109375" style="137" customWidth="1"/>
    <col min="2" max="2" width="51.7109375" style="138" customWidth="1"/>
    <col min="3" max="3" width="34.7109375" style="44" customWidth="1"/>
    <col min="4" max="4" width="48.5703125" style="44" customWidth="1"/>
    <col min="5" max="16384" width="9.140625" style="44"/>
  </cols>
  <sheetData>
    <row r="1" spans="1:8" s="77" customFormat="1" ht="28.5" customHeight="1" thickBot="1" x14ac:dyDescent="0.3">
      <c r="A1" s="73" t="s">
        <v>129</v>
      </c>
      <c r="B1" s="74"/>
      <c r="C1" s="75"/>
      <c r="D1" s="24" t="s">
        <v>323</v>
      </c>
      <c r="E1" s="25"/>
      <c r="F1" s="76"/>
      <c r="G1" s="76"/>
      <c r="H1" s="76"/>
    </row>
    <row r="2" spans="1:8" s="77" customFormat="1" ht="15" customHeight="1" thickTop="1" x14ac:dyDescent="0.25">
      <c r="A2" s="78"/>
      <c r="B2" s="79"/>
      <c r="C2" s="80"/>
      <c r="D2" s="80"/>
      <c r="E2" s="76"/>
      <c r="F2" s="76"/>
      <c r="G2" s="76"/>
      <c r="H2" s="76"/>
    </row>
    <row r="3" spans="1:8" s="84" customFormat="1" x14ac:dyDescent="0.25">
      <c r="A3" s="81" t="s">
        <v>14</v>
      </c>
      <c r="B3" s="82"/>
      <c r="C3" s="83"/>
      <c r="D3" s="83"/>
    </row>
    <row r="4" spans="1:8" x14ac:dyDescent="0.25">
      <c r="A4" s="85" t="s">
        <v>260</v>
      </c>
      <c r="B4" s="86"/>
      <c r="C4" s="87"/>
      <c r="D4" s="87"/>
    </row>
    <row r="5" spans="1:8" x14ac:dyDescent="0.25">
      <c r="A5" s="85" t="s">
        <v>301</v>
      </c>
      <c r="B5" s="86"/>
      <c r="C5" s="87"/>
      <c r="D5" s="87"/>
    </row>
    <row r="6" spans="1:8" x14ac:dyDescent="0.25">
      <c r="A6" s="85" t="s">
        <v>127</v>
      </c>
      <c r="B6" s="86"/>
      <c r="C6" s="87"/>
      <c r="D6" s="87"/>
    </row>
    <row r="7" spans="1:8" x14ac:dyDescent="0.25">
      <c r="A7" s="85"/>
      <c r="B7" s="86"/>
      <c r="C7" s="87"/>
      <c r="D7" s="87"/>
    </row>
    <row r="8" spans="1:8" x14ac:dyDescent="0.25">
      <c r="A8" s="86" t="s">
        <v>302</v>
      </c>
      <c r="B8" s="86"/>
      <c r="C8" s="87"/>
      <c r="D8" s="87"/>
    </row>
    <row r="9" spans="1:8" x14ac:dyDescent="0.25">
      <c r="A9" s="86" t="s">
        <v>303</v>
      </c>
      <c r="B9" s="86"/>
      <c r="C9" s="87"/>
      <c r="D9" s="87"/>
    </row>
    <row r="10" spans="1:8" x14ac:dyDescent="0.25">
      <c r="A10" s="86" t="s">
        <v>17</v>
      </c>
      <c r="B10" s="86"/>
      <c r="C10" s="87"/>
      <c r="D10" s="87"/>
    </row>
    <row r="11" spans="1:8" x14ac:dyDescent="0.25">
      <c r="A11" s="86"/>
      <c r="B11" s="86"/>
      <c r="C11" s="87"/>
      <c r="D11" s="87"/>
    </row>
    <row r="12" spans="1:8" x14ac:dyDescent="0.25">
      <c r="A12" s="86" t="s">
        <v>261</v>
      </c>
      <c r="B12" s="86"/>
      <c r="C12" s="87"/>
      <c r="D12" s="87"/>
    </row>
    <row r="13" spans="1:8" x14ac:dyDescent="0.25">
      <c r="A13" s="86" t="s">
        <v>304</v>
      </c>
      <c r="B13" s="86"/>
      <c r="C13" s="87"/>
      <c r="D13" s="87"/>
    </row>
    <row r="14" spans="1:8" x14ac:dyDescent="0.25">
      <c r="A14" s="86" t="s">
        <v>305</v>
      </c>
      <c r="B14" s="86"/>
      <c r="C14" s="87"/>
      <c r="D14" s="87"/>
    </row>
    <row r="15" spans="1:8" x14ac:dyDescent="0.25">
      <c r="A15" s="86" t="s">
        <v>18</v>
      </c>
      <c r="B15" s="86"/>
      <c r="C15" s="87"/>
      <c r="D15" s="87"/>
    </row>
    <row r="16" spans="1:8" x14ac:dyDescent="0.25">
      <c r="A16" s="86" t="s">
        <v>262</v>
      </c>
      <c r="B16" s="86"/>
      <c r="C16" s="87"/>
      <c r="D16" s="87"/>
    </row>
    <row r="17" spans="1:20" x14ac:dyDescent="0.25">
      <c r="A17" s="86" t="s">
        <v>306</v>
      </c>
      <c r="B17" s="86"/>
      <c r="C17" s="87"/>
      <c r="D17" s="87"/>
    </row>
    <row r="18" spans="1:20" x14ac:dyDescent="0.25">
      <c r="A18" s="88" t="s">
        <v>263</v>
      </c>
      <c r="B18" s="86"/>
      <c r="C18" s="87"/>
      <c r="D18" s="87"/>
    </row>
    <row r="19" spans="1:20" x14ac:dyDescent="0.25">
      <c r="A19" s="88" t="s">
        <v>19</v>
      </c>
      <c r="B19" s="86"/>
      <c r="C19" s="87"/>
      <c r="D19" s="87"/>
    </row>
    <row r="20" spans="1:20" x14ac:dyDescent="0.25">
      <c r="A20" s="88"/>
      <c r="B20" s="86"/>
      <c r="C20" s="87"/>
      <c r="D20" s="87"/>
    </row>
    <row r="21" spans="1:20" s="91" customFormat="1" ht="13.5" thickBot="1" x14ac:dyDescent="0.25">
      <c r="A21" s="89" t="s">
        <v>25</v>
      </c>
      <c r="B21" s="90"/>
    </row>
    <row r="22" spans="1:20" s="91" customFormat="1" ht="14.25" thickTop="1" thickBot="1" x14ac:dyDescent="0.25">
      <c r="A22" s="92" t="s">
        <v>108</v>
      </c>
      <c r="B22" s="93" t="s">
        <v>107</v>
      </c>
      <c r="C22" s="94" t="s">
        <v>125</v>
      </c>
      <c r="D22" s="95" t="s">
        <v>124</v>
      </c>
      <c r="E22" s="96"/>
      <c r="F22" s="96"/>
      <c r="G22" s="96"/>
      <c r="H22" s="96"/>
      <c r="I22" s="96"/>
      <c r="J22" s="96"/>
      <c r="K22" s="96"/>
      <c r="L22" s="96"/>
      <c r="M22" s="96"/>
      <c r="N22" s="96"/>
      <c r="O22" s="96"/>
      <c r="P22" s="96"/>
      <c r="Q22" s="96"/>
      <c r="R22" s="96"/>
      <c r="S22" s="96"/>
      <c r="T22" s="96"/>
    </row>
    <row r="23" spans="1:20" s="91" customFormat="1" ht="13.5" thickTop="1" x14ac:dyDescent="0.2">
      <c r="A23" s="97" t="s">
        <v>123</v>
      </c>
      <c r="B23" s="98" t="s">
        <v>122</v>
      </c>
      <c r="C23" s="99" t="s">
        <v>121</v>
      </c>
      <c r="D23" s="100" t="s">
        <v>120</v>
      </c>
    </row>
    <row r="24" spans="1:20" s="91" customFormat="1" ht="12.75" x14ac:dyDescent="0.2">
      <c r="A24" s="101" t="s">
        <v>119</v>
      </c>
      <c r="B24" s="102" t="s">
        <v>118</v>
      </c>
      <c r="C24" s="103" t="s">
        <v>117</v>
      </c>
      <c r="D24" s="104" t="s">
        <v>116</v>
      </c>
    </row>
    <row r="25" spans="1:20" s="91" customFormat="1" ht="12.75" x14ac:dyDescent="0.2">
      <c r="A25" s="101" t="s">
        <v>115</v>
      </c>
      <c r="B25" s="105" t="s">
        <v>114</v>
      </c>
      <c r="C25" s="106" t="s">
        <v>114</v>
      </c>
      <c r="D25" s="104" t="s">
        <v>113</v>
      </c>
    </row>
    <row r="26" spans="1:20" s="91" customFormat="1" ht="13.5" thickBot="1" x14ac:dyDescent="0.25">
      <c r="A26" s="107" t="s">
        <v>112</v>
      </c>
      <c r="B26" s="108" t="s">
        <v>111</v>
      </c>
      <c r="C26" s="109" t="s">
        <v>110</v>
      </c>
      <c r="D26" s="110" t="s">
        <v>109</v>
      </c>
    </row>
    <row r="27" spans="1:20" s="91" customFormat="1" ht="14.25" thickTop="1" thickBot="1" x14ac:dyDescent="0.25">
      <c r="A27" s="111"/>
      <c r="B27" s="111"/>
      <c r="C27" s="112"/>
      <c r="D27" s="112"/>
    </row>
    <row r="28" spans="1:20" ht="16.5" thickTop="1" thickBot="1" x14ac:dyDescent="0.3">
      <c r="A28" s="113" t="s">
        <v>128</v>
      </c>
      <c r="B28" s="114"/>
      <c r="C28" s="115"/>
      <c r="D28" s="115"/>
      <c r="E28" s="116"/>
    </row>
    <row r="29" spans="1:20" ht="48.75" thickTop="1" thickBot="1" x14ac:dyDescent="0.3">
      <c r="A29" s="117" t="s">
        <v>144</v>
      </c>
      <c r="B29" s="118" t="s">
        <v>278</v>
      </c>
      <c r="C29" s="119" t="s">
        <v>271</v>
      </c>
      <c r="D29" s="120" t="s">
        <v>272</v>
      </c>
      <c r="E29" s="121"/>
      <c r="F29" s="121"/>
      <c r="G29" s="121"/>
      <c r="H29" s="121"/>
      <c r="I29" s="121"/>
      <c r="J29" s="121"/>
      <c r="K29" s="121"/>
      <c r="L29" s="121"/>
      <c r="M29" s="121"/>
      <c r="N29" s="121"/>
      <c r="O29" s="121"/>
      <c r="P29" s="121"/>
      <c r="Q29" s="121"/>
      <c r="R29" s="121"/>
      <c r="S29" s="122"/>
      <c r="T29" s="122"/>
    </row>
    <row r="30" spans="1:20" ht="15.75" thickTop="1" x14ac:dyDescent="0.25">
      <c r="A30" s="123"/>
      <c r="B30" s="124"/>
      <c r="C30" s="125"/>
      <c r="D30" s="126"/>
      <c r="E30" s="122"/>
      <c r="F30" s="122"/>
      <c r="G30" s="122"/>
      <c r="H30" s="122"/>
      <c r="I30" s="122"/>
      <c r="J30" s="122"/>
      <c r="K30" s="122"/>
      <c r="L30" s="122"/>
      <c r="M30" s="122"/>
      <c r="N30" s="122"/>
      <c r="O30" s="122"/>
      <c r="P30" s="122"/>
      <c r="Q30" s="122"/>
      <c r="R30" s="122"/>
      <c r="S30" s="122"/>
      <c r="T30" s="122"/>
    </row>
    <row r="31" spans="1:20" x14ac:dyDescent="0.25">
      <c r="A31" s="127"/>
      <c r="B31" s="128"/>
      <c r="C31" s="129"/>
      <c r="D31" s="130"/>
    </row>
    <row r="32" spans="1:20" x14ac:dyDescent="0.25">
      <c r="A32" s="127"/>
      <c r="B32" s="128"/>
      <c r="C32" s="129"/>
      <c r="D32" s="130"/>
    </row>
    <row r="33" spans="1:4" x14ac:dyDescent="0.25">
      <c r="A33" s="127"/>
      <c r="B33" s="128"/>
      <c r="C33" s="129"/>
      <c r="D33" s="130"/>
    </row>
    <row r="34" spans="1:4" x14ac:dyDescent="0.25">
      <c r="A34" s="127"/>
      <c r="B34" s="128"/>
      <c r="C34" s="129"/>
      <c r="D34" s="130"/>
    </row>
    <row r="35" spans="1:4" x14ac:dyDescent="0.25">
      <c r="A35" s="127"/>
      <c r="B35" s="128"/>
      <c r="C35" s="129"/>
      <c r="D35" s="130"/>
    </row>
    <row r="36" spans="1:4" x14ac:dyDescent="0.25">
      <c r="A36" s="127"/>
      <c r="B36" s="128"/>
      <c r="C36" s="129"/>
      <c r="D36" s="130"/>
    </row>
    <row r="37" spans="1:4" x14ac:dyDescent="0.25">
      <c r="A37" s="127"/>
      <c r="B37" s="128"/>
      <c r="C37" s="131"/>
      <c r="D37" s="132"/>
    </row>
    <row r="38" spans="1:4" x14ac:dyDescent="0.25">
      <c r="A38" s="127"/>
      <c r="B38" s="128"/>
      <c r="C38" s="131"/>
      <c r="D38" s="132"/>
    </row>
    <row r="39" spans="1:4" x14ac:dyDescent="0.25">
      <c r="A39" s="127"/>
      <c r="B39" s="128"/>
      <c r="C39" s="131"/>
      <c r="D39" s="132"/>
    </row>
    <row r="40" spans="1:4" x14ac:dyDescent="0.25">
      <c r="A40" s="127"/>
      <c r="B40" s="128"/>
      <c r="C40" s="131"/>
      <c r="D40" s="132"/>
    </row>
    <row r="41" spans="1:4" x14ac:dyDescent="0.25">
      <c r="A41" s="127"/>
      <c r="B41" s="128"/>
      <c r="C41" s="131"/>
      <c r="D41" s="132"/>
    </row>
    <row r="42" spans="1:4" x14ac:dyDescent="0.25">
      <c r="A42" s="127"/>
      <c r="B42" s="128"/>
      <c r="C42" s="131"/>
      <c r="D42" s="132"/>
    </row>
    <row r="43" spans="1:4" x14ac:dyDescent="0.25">
      <c r="A43" s="127"/>
      <c r="B43" s="128"/>
      <c r="C43" s="131"/>
      <c r="D43" s="132"/>
    </row>
    <row r="44" spans="1:4" x14ac:dyDescent="0.25">
      <c r="A44" s="127"/>
      <c r="B44" s="128"/>
      <c r="C44" s="131"/>
      <c r="D44" s="132"/>
    </row>
    <row r="45" spans="1:4" x14ac:dyDescent="0.25">
      <c r="A45" s="127"/>
      <c r="B45" s="128"/>
      <c r="C45" s="131"/>
      <c r="D45" s="132"/>
    </row>
    <row r="46" spans="1:4" x14ac:dyDescent="0.25">
      <c r="A46" s="127"/>
      <c r="B46" s="128"/>
      <c r="C46" s="131"/>
      <c r="D46" s="132"/>
    </row>
    <row r="47" spans="1:4" x14ac:dyDescent="0.25">
      <c r="A47" s="127"/>
      <c r="B47" s="128"/>
      <c r="C47" s="131"/>
      <c r="D47" s="132"/>
    </row>
    <row r="48" spans="1:4" x14ac:dyDescent="0.25">
      <c r="A48" s="127"/>
      <c r="B48" s="128"/>
      <c r="C48" s="131"/>
      <c r="D48" s="132"/>
    </row>
    <row r="49" spans="1:4" x14ac:dyDescent="0.25">
      <c r="A49" s="127"/>
      <c r="B49" s="128"/>
      <c r="C49" s="131"/>
      <c r="D49" s="132"/>
    </row>
    <row r="50" spans="1:4" x14ac:dyDescent="0.25">
      <c r="A50" s="127"/>
      <c r="B50" s="128"/>
      <c r="C50" s="131"/>
      <c r="D50" s="132"/>
    </row>
    <row r="51" spans="1:4" x14ac:dyDescent="0.25">
      <c r="A51" s="127"/>
      <c r="B51" s="128"/>
      <c r="C51" s="131"/>
      <c r="D51" s="132"/>
    </row>
    <row r="52" spans="1:4" x14ac:dyDescent="0.25">
      <c r="A52" s="127"/>
      <c r="B52" s="128"/>
      <c r="C52" s="131"/>
      <c r="D52" s="132"/>
    </row>
    <row r="53" spans="1:4" x14ac:dyDescent="0.25">
      <c r="A53" s="127"/>
      <c r="B53" s="128"/>
      <c r="C53" s="131"/>
      <c r="D53" s="132"/>
    </row>
    <row r="54" spans="1:4" x14ac:dyDescent="0.25">
      <c r="A54" s="127"/>
      <c r="B54" s="128"/>
      <c r="C54" s="131"/>
      <c r="D54" s="132"/>
    </row>
    <row r="55" spans="1:4" x14ac:dyDescent="0.25">
      <c r="A55" s="127"/>
      <c r="B55" s="128"/>
      <c r="C55" s="131"/>
      <c r="D55" s="132"/>
    </row>
    <row r="56" spans="1:4" x14ac:dyDescent="0.25">
      <c r="A56" s="127"/>
      <c r="B56" s="128"/>
      <c r="C56" s="131"/>
      <c r="D56" s="132"/>
    </row>
    <row r="57" spans="1:4" x14ac:dyDescent="0.25">
      <c r="A57" s="127"/>
      <c r="B57" s="128"/>
      <c r="C57" s="131"/>
      <c r="D57" s="132"/>
    </row>
    <row r="58" spans="1:4" x14ac:dyDescent="0.25">
      <c r="A58" s="127"/>
      <c r="B58" s="128"/>
      <c r="C58" s="131"/>
      <c r="D58" s="132"/>
    </row>
    <row r="59" spans="1:4" x14ac:dyDescent="0.25">
      <c r="A59" s="127"/>
      <c r="B59" s="128"/>
      <c r="C59" s="131"/>
      <c r="D59" s="132"/>
    </row>
    <row r="60" spans="1:4" x14ac:dyDescent="0.25">
      <c r="A60" s="127"/>
      <c r="B60" s="128"/>
      <c r="C60" s="131"/>
      <c r="D60" s="132"/>
    </row>
    <row r="61" spans="1:4" ht="15.75" thickBot="1" x14ac:dyDescent="0.3">
      <c r="A61" s="133"/>
      <c r="B61" s="134"/>
      <c r="C61" s="135"/>
      <c r="D61" s="136"/>
    </row>
    <row r="62" spans="1:4" ht="15.75" thickTop="1" x14ac:dyDescent="0.25"/>
  </sheetData>
  <pageMargins left="0" right="0" top="0.5" bottom="0.5" header="0.3" footer="0.3"/>
  <pageSetup scale="70" fitToHeight="0" orientation="portrait" horizontalDpi="4294967293" r:id="rId1"/>
  <headerFooter>
    <oddHeader>&amp;C&amp;"-,Bold Italic"&amp;14&amp;K0070C0&amp;A</oddHeader>
    <oddFooter>&amp;L&amp;D &amp;T&amp;C&amp;F &amp;A&amp;R&amp;P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53"/>
  <sheetViews>
    <sheetView showGridLines="0" topLeftCell="A34" workbookViewId="0">
      <selection activeCell="A50" sqref="A50"/>
    </sheetView>
  </sheetViews>
  <sheetFormatPr defaultRowHeight="15" x14ac:dyDescent="0.25"/>
  <cols>
    <col min="1" max="1" width="4" style="44" customWidth="1"/>
    <col min="2" max="2" width="38.140625" style="44" customWidth="1"/>
    <col min="3" max="3" width="3.7109375" style="44" bestFit="1" customWidth="1"/>
    <col min="4" max="4" width="3.85546875" style="44" customWidth="1"/>
    <col min="5" max="11" width="3.7109375" style="44" bestFit="1" customWidth="1"/>
    <col min="12" max="12" width="27.7109375" style="44" bestFit="1" customWidth="1"/>
    <col min="13" max="16384" width="9.140625" style="44"/>
  </cols>
  <sheetData>
    <row r="1" spans="1:15" s="142" customFormat="1" ht="30" customHeight="1" thickBot="1" x14ac:dyDescent="0.3">
      <c r="A1" s="139" t="s">
        <v>248</v>
      </c>
      <c r="B1" s="140"/>
      <c r="C1" s="140"/>
      <c r="D1" s="140"/>
      <c r="E1" s="140"/>
      <c r="F1" s="140"/>
      <c r="G1" s="140"/>
      <c r="H1" s="140"/>
      <c r="I1" s="140"/>
      <c r="J1" s="140"/>
      <c r="K1" s="140"/>
      <c r="L1" s="140"/>
      <c r="M1" s="3"/>
      <c r="N1" s="141"/>
      <c r="O1" s="3" t="s">
        <v>325</v>
      </c>
    </row>
    <row r="2" spans="1:15" s="142" customFormat="1" ht="15.75" customHeight="1" thickTop="1" x14ac:dyDescent="0.25">
      <c r="A2" s="143"/>
      <c r="B2" s="144"/>
      <c r="C2" s="144"/>
      <c r="D2" s="144"/>
      <c r="E2" s="144"/>
      <c r="F2" s="144"/>
      <c r="G2" s="144"/>
      <c r="H2" s="144"/>
      <c r="I2" s="144"/>
      <c r="J2" s="144"/>
      <c r="K2" s="144"/>
      <c r="L2" s="144"/>
      <c r="M2" s="145"/>
    </row>
    <row r="3" spans="1:15" ht="15.75" x14ac:dyDescent="0.25">
      <c r="A3" s="146" t="s">
        <v>14</v>
      </c>
      <c r="B3" s="147"/>
      <c r="C3" s="147"/>
      <c r="D3" s="147"/>
    </row>
    <row r="4" spans="1:15" x14ac:dyDescent="0.25">
      <c r="A4" s="32"/>
      <c r="B4" s="32"/>
      <c r="C4" s="32"/>
      <c r="D4" s="32"/>
    </row>
    <row r="5" spans="1:15" x14ac:dyDescent="0.25">
      <c r="A5" s="148" t="s">
        <v>247</v>
      </c>
      <c r="B5" s="32"/>
      <c r="C5" s="32"/>
      <c r="D5" s="32"/>
    </row>
    <row r="6" spans="1:15" x14ac:dyDescent="0.25">
      <c r="A6" s="32"/>
      <c r="B6" s="149" t="s">
        <v>246</v>
      </c>
      <c r="C6" s="32"/>
      <c r="D6" s="32"/>
    </row>
    <row r="7" spans="1:15" x14ac:dyDescent="0.25">
      <c r="A7" s="32"/>
      <c r="B7" s="32"/>
      <c r="C7" s="32"/>
      <c r="D7" s="32"/>
    </row>
    <row r="8" spans="1:15" x14ac:dyDescent="0.25">
      <c r="A8" s="148" t="s">
        <v>216</v>
      </c>
      <c r="B8" s="32"/>
      <c r="C8" s="32"/>
      <c r="D8" s="32"/>
    </row>
    <row r="9" spans="1:15" x14ac:dyDescent="0.25">
      <c r="A9" s="150"/>
      <c r="B9" s="149" t="s">
        <v>74</v>
      </c>
      <c r="C9" s="32"/>
      <c r="D9" s="32"/>
    </row>
    <row r="10" spans="1:15" x14ac:dyDescent="0.25">
      <c r="A10" s="150"/>
      <c r="B10" s="32" t="s">
        <v>307</v>
      </c>
      <c r="C10" s="32"/>
      <c r="D10" s="32"/>
    </row>
    <row r="11" spans="1:15" x14ac:dyDescent="0.25">
      <c r="A11" s="150"/>
      <c r="B11" s="32" t="s">
        <v>308</v>
      </c>
      <c r="C11" s="32"/>
      <c r="D11" s="32"/>
    </row>
    <row r="12" spans="1:15" x14ac:dyDescent="0.25">
      <c r="A12" s="150"/>
      <c r="B12" s="32" t="s">
        <v>67</v>
      </c>
      <c r="C12" s="32"/>
      <c r="D12" s="32"/>
    </row>
    <row r="13" spans="1:15" x14ac:dyDescent="0.25">
      <c r="A13" s="150"/>
      <c r="B13" s="32" t="s">
        <v>68</v>
      </c>
      <c r="C13" s="32"/>
      <c r="D13" s="32"/>
    </row>
    <row r="14" spans="1:15" x14ac:dyDescent="0.25">
      <c r="A14" s="150"/>
      <c r="B14" s="32" t="s">
        <v>69</v>
      </c>
      <c r="C14" s="32"/>
      <c r="D14" s="32"/>
    </row>
    <row r="15" spans="1:15" x14ac:dyDescent="0.25">
      <c r="A15" s="150"/>
      <c r="B15" s="32"/>
      <c r="C15" s="32"/>
      <c r="D15" s="32"/>
    </row>
    <row r="16" spans="1:15" x14ac:dyDescent="0.25">
      <c r="A16" s="150" t="s">
        <v>245</v>
      </c>
      <c r="B16" s="32"/>
      <c r="C16" s="32"/>
      <c r="D16" s="32"/>
    </row>
    <row r="17" spans="1:4" x14ac:dyDescent="0.25">
      <c r="A17" s="150"/>
      <c r="B17" s="151" t="s">
        <v>217</v>
      </c>
      <c r="C17" s="149" t="s">
        <v>244</v>
      </c>
    </row>
    <row r="18" spans="1:4" x14ac:dyDescent="0.25">
      <c r="A18" s="150"/>
      <c r="B18" s="151" t="s">
        <v>218</v>
      </c>
      <c r="C18" s="149" t="s">
        <v>243</v>
      </c>
    </row>
    <row r="19" spans="1:4" x14ac:dyDescent="0.25">
      <c r="A19" s="150"/>
      <c r="B19" s="151" t="s">
        <v>219</v>
      </c>
      <c r="C19" s="149" t="s">
        <v>242</v>
      </c>
    </row>
    <row r="20" spans="1:4" x14ac:dyDescent="0.25">
      <c r="A20" s="150"/>
      <c r="B20" s="151" t="s">
        <v>220</v>
      </c>
      <c r="C20" s="149" t="s">
        <v>241</v>
      </c>
    </row>
    <row r="21" spans="1:4" x14ac:dyDescent="0.25">
      <c r="A21" s="152"/>
      <c r="B21" s="151" t="s">
        <v>221</v>
      </c>
      <c r="C21" s="149" t="s">
        <v>240</v>
      </c>
    </row>
    <row r="22" spans="1:4" x14ac:dyDescent="0.25">
      <c r="A22" s="148"/>
      <c r="B22" s="151" t="s">
        <v>235</v>
      </c>
      <c r="C22" s="149" t="s">
        <v>239</v>
      </c>
    </row>
    <row r="23" spans="1:4" x14ac:dyDescent="0.25">
      <c r="A23" s="148"/>
      <c r="B23" s="151" t="s">
        <v>222</v>
      </c>
      <c r="C23" s="149" t="s">
        <v>238</v>
      </c>
    </row>
    <row r="24" spans="1:4" x14ac:dyDescent="0.25">
      <c r="A24" s="148"/>
      <c r="B24" s="151" t="s">
        <v>223</v>
      </c>
      <c r="C24" s="149" t="s">
        <v>237</v>
      </c>
    </row>
    <row r="25" spans="1:4" x14ac:dyDescent="0.25">
      <c r="A25" s="148"/>
      <c r="B25" s="151" t="s">
        <v>224</v>
      </c>
      <c r="C25" s="149" t="s">
        <v>309</v>
      </c>
    </row>
    <row r="26" spans="1:4" x14ac:dyDescent="0.25">
      <c r="A26" s="148"/>
      <c r="B26" s="151"/>
      <c r="C26" s="32"/>
      <c r="D26" s="149"/>
    </row>
    <row r="27" spans="1:4" x14ac:dyDescent="0.25">
      <c r="A27" s="153" t="s">
        <v>310</v>
      </c>
      <c r="B27" s="151"/>
      <c r="C27" s="32"/>
      <c r="D27" s="149"/>
    </row>
    <row r="28" spans="1:4" x14ac:dyDescent="0.25">
      <c r="A28" s="152"/>
      <c r="B28" s="32"/>
      <c r="C28" s="32"/>
      <c r="D28" s="32"/>
    </row>
    <row r="29" spans="1:4" x14ac:dyDescent="0.25">
      <c r="A29" s="148" t="s">
        <v>225</v>
      </c>
      <c r="B29" s="32"/>
      <c r="C29" s="32"/>
      <c r="D29" s="32"/>
    </row>
    <row r="30" spans="1:4" x14ac:dyDescent="0.25">
      <c r="A30" s="148"/>
      <c r="B30" s="149" t="s">
        <v>71</v>
      </c>
      <c r="C30" s="32"/>
      <c r="D30" s="32"/>
    </row>
    <row r="31" spans="1:4" x14ac:dyDescent="0.25">
      <c r="A31" s="148"/>
      <c r="B31" s="149" t="s">
        <v>72</v>
      </c>
      <c r="C31" s="32"/>
      <c r="D31" s="32"/>
    </row>
    <row r="32" spans="1:4" x14ac:dyDescent="0.25">
      <c r="A32" s="148"/>
      <c r="B32" s="32" t="s">
        <v>70</v>
      </c>
      <c r="C32" s="32"/>
      <c r="D32" s="32"/>
    </row>
    <row r="33" spans="1:12" x14ac:dyDescent="0.25">
      <c r="A33" s="148"/>
      <c r="B33" s="149" t="s">
        <v>73</v>
      </c>
      <c r="C33" s="32"/>
      <c r="D33" s="32"/>
    </row>
    <row r="34" spans="1:12" x14ac:dyDescent="0.25">
      <c r="A34" s="148"/>
      <c r="B34" s="32"/>
      <c r="C34" s="32"/>
      <c r="D34" s="32"/>
    </row>
    <row r="35" spans="1:12" ht="15.75" thickBot="1" x14ac:dyDescent="0.3"/>
    <row r="36" spans="1:12" ht="16.5" thickTop="1" x14ac:dyDescent="0.25">
      <c r="A36" s="154" t="s">
        <v>236</v>
      </c>
      <c r="B36" s="155"/>
      <c r="C36" s="155"/>
      <c r="D36" s="155"/>
      <c r="E36" s="155"/>
      <c r="F36" s="155"/>
      <c r="G36" s="155"/>
      <c r="H36" s="155"/>
      <c r="I36" s="155"/>
      <c r="J36" s="155"/>
      <c r="K36" s="155"/>
      <c r="L36" s="156"/>
    </row>
    <row r="37" spans="1:12" ht="91.5" x14ac:dyDescent="0.25">
      <c r="A37" s="377"/>
      <c r="B37" s="378" t="s">
        <v>216</v>
      </c>
      <c r="C37" s="379" t="s">
        <v>217</v>
      </c>
      <c r="D37" s="380" t="s">
        <v>218</v>
      </c>
      <c r="E37" s="381" t="s">
        <v>219</v>
      </c>
      <c r="F37" s="382" t="s">
        <v>220</v>
      </c>
      <c r="G37" s="383" t="s">
        <v>221</v>
      </c>
      <c r="H37" s="384" t="s">
        <v>311</v>
      </c>
      <c r="I37" s="385" t="s">
        <v>222</v>
      </c>
      <c r="J37" s="386" t="s">
        <v>223</v>
      </c>
      <c r="K37" s="387" t="s">
        <v>224</v>
      </c>
      <c r="L37" s="388" t="s">
        <v>225</v>
      </c>
    </row>
    <row r="38" spans="1:12" x14ac:dyDescent="0.25">
      <c r="A38" s="418">
        <v>1</v>
      </c>
      <c r="B38" s="157" t="s">
        <v>1</v>
      </c>
      <c r="C38" s="389"/>
      <c r="D38" s="390"/>
      <c r="E38" s="391"/>
      <c r="F38" s="392"/>
      <c r="G38" s="393"/>
      <c r="H38" s="394"/>
      <c r="I38" s="395"/>
      <c r="J38" s="396"/>
      <c r="K38" s="397"/>
      <c r="L38" s="158"/>
    </row>
    <row r="39" spans="1:12" x14ac:dyDescent="0.25">
      <c r="A39" s="418">
        <v>2</v>
      </c>
      <c r="B39" s="159" t="s">
        <v>75</v>
      </c>
      <c r="C39" s="398"/>
      <c r="D39" s="399"/>
      <c r="E39" s="400"/>
      <c r="F39" s="401"/>
      <c r="G39" s="402"/>
      <c r="H39" s="403"/>
      <c r="I39" s="404"/>
      <c r="J39" s="405"/>
      <c r="K39" s="406"/>
      <c r="L39" s="160"/>
    </row>
    <row r="40" spans="1:12" x14ac:dyDescent="0.25">
      <c r="A40" s="418">
        <v>3</v>
      </c>
      <c r="B40" s="159" t="s">
        <v>77</v>
      </c>
      <c r="C40" s="398"/>
      <c r="D40" s="399"/>
      <c r="E40" s="400"/>
      <c r="F40" s="401" t="s">
        <v>348</v>
      </c>
      <c r="G40" s="402"/>
      <c r="H40" s="403"/>
      <c r="I40" s="404"/>
      <c r="J40" s="405"/>
      <c r="K40" s="406"/>
      <c r="L40" s="160"/>
    </row>
    <row r="41" spans="1:12" x14ac:dyDescent="0.25">
      <c r="A41" s="418">
        <v>4</v>
      </c>
      <c r="B41" s="159" t="s">
        <v>234</v>
      </c>
      <c r="C41" s="398"/>
      <c r="D41" s="399"/>
      <c r="E41" s="400"/>
      <c r="F41" s="401" t="s">
        <v>348</v>
      </c>
      <c r="G41" s="402"/>
      <c r="H41" s="403"/>
      <c r="I41" s="404"/>
      <c r="J41" s="405"/>
      <c r="K41" s="406"/>
      <c r="L41" s="160"/>
    </row>
    <row r="42" spans="1:12" x14ac:dyDescent="0.25">
      <c r="A42" s="418">
        <v>5</v>
      </c>
      <c r="B42" s="159" t="s">
        <v>233</v>
      </c>
      <c r="C42" s="398"/>
      <c r="D42" s="399"/>
      <c r="E42" s="400"/>
      <c r="F42" s="401"/>
      <c r="G42" s="402"/>
      <c r="H42" s="403" t="s">
        <v>348</v>
      </c>
      <c r="I42" s="404"/>
      <c r="J42" s="405" t="s">
        <v>348</v>
      </c>
      <c r="K42" s="406"/>
      <c r="L42" s="160"/>
    </row>
    <row r="43" spans="1:12" x14ac:dyDescent="0.25">
      <c r="A43" s="418">
        <v>6</v>
      </c>
      <c r="B43" s="159" t="s">
        <v>232</v>
      </c>
      <c r="C43" s="398"/>
      <c r="D43" s="399"/>
      <c r="E43" s="400"/>
      <c r="F43" s="401"/>
      <c r="G43" s="402"/>
      <c r="H43" s="403" t="s">
        <v>348</v>
      </c>
      <c r="I43" s="404"/>
      <c r="J43" s="405"/>
      <c r="K43" s="406"/>
      <c r="L43" s="160"/>
    </row>
    <row r="44" spans="1:12" x14ac:dyDescent="0.25">
      <c r="A44" s="418">
        <v>7</v>
      </c>
      <c r="B44" s="159" t="s">
        <v>76</v>
      </c>
      <c r="C44" s="398"/>
      <c r="D44" s="399"/>
      <c r="E44" s="400"/>
      <c r="F44" s="401" t="s">
        <v>348</v>
      </c>
      <c r="G44" s="402"/>
      <c r="H44" s="403"/>
      <c r="I44" s="404"/>
      <c r="J44" s="405" t="s">
        <v>348</v>
      </c>
      <c r="K44" s="406"/>
      <c r="L44" s="160"/>
    </row>
    <row r="45" spans="1:12" x14ac:dyDescent="0.25">
      <c r="A45" s="418">
        <v>8</v>
      </c>
      <c r="B45" s="159" t="s">
        <v>81</v>
      </c>
      <c r="C45" s="398"/>
      <c r="D45" s="399"/>
      <c r="E45" s="400"/>
      <c r="F45" s="401" t="s">
        <v>348</v>
      </c>
      <c r="G45" s="402"/>
      <c r="H45" s="403"/>
      <c r="I45" s="404"/>
      <c r="J45" s="405"/>
      <c r="K45" s="406"/>
      <c r="L45" s="160"/>
    </row>
    <row r="46" spans="1:12" x14ac:dyDescent="0.25">
      <c r="A46" s="418">
        <v>9</v>
      </c>
      <c r="B46" s="159" t="s">
        <v>231</v>
      </c>
      <c r="C46" s="398"/>
      <c r="D46" s="399"/>
      <c r="E46" s="400"/>
      <c r="F46" s="401"/>
      <c r="G46" s="402"/>
      <c r="H46" s="403"/>
      <c r="I46" s="404" t="s">
        <v>348</v>
      </c>
      <c r="J46" s="405"/>
      <c r="K46" s="406"/>
      <c r="L46" s="160" t="s">
        <v>230</v>
      </c>
    </row>
    <row r="47" spans="1:12" x14ac:dyDescent="0.25">
      <c r="A47" s="418">
        <v>10</v>
      </c>
      <c r="B47" s="159" t="s">
        <v>229</v>
      </c>
      <c r="C47" s="398"/>
      <c r="D47" s="399"/>
      <c r="E47" s="400"/>
      <c r="F47" s="401"/>
      <c r="G47" s="402"/>
      <c r="H47" s="403"/>
      <c r="I47" s="404" t="s">
        <v>348</v>
      </c>
      <c r="J47" s="405"/>
      <c r="K47" s="406"/>
      <c r="L47" s="160" t="s">
        <v>349</v>
      </c>
    </row>
    <row r="48" spans="1:12" x14ac:dyDescent="0.25">
      <c r="A48" s="418">
        <v>11</v>
      </c>
      <c r="B48" s="159" t="s">
        <v>35</v>
      </c>
      <c r="C48" s="398"/>
      <c r="D48" s="399"/>
      <c r="E48" s="400"/>
      <c r="F48" s="401"/>
      <c r="G48" s="402"/>
      <c r="H48" s="403"/>
      <c r="I48" s="404"/>
      <c r="J48" s="405"/>
      <c r="K48" s="406"/>
      <c r="L48" s="160"/>
    </row>
    <row r="49" spans="1:12" x14ac:dyDescent="0.25">
      <c r="A49" s="418">
        <v>12</v>
      </c>
      <c r="B49" s="159" t="s">
        <v>80</v>
      </c>
      <c r="C49" s="398"/>
      <c r="D49" s="399"/>
      <c r="E49" s="400"/>
      <c r="F49" s="401"/>
      <c r="G49" s="402"/>
      <c r="H49" s="403"/>
      <c r="I49" s="404"/>
      <c r="J49" s="405"/>
      <c r="K49" s="406"/>
      <c r="L49" s="160"/>
    </row>
    <row r="50" spans="1:12" x14ac:dyDescent="0.25">
      <c r="A50" s="418"/>
      <c r="B50" s="159"/>
      <c r="C50" s="398"/>
      <c r="D50" s="399"/>
      <c r="E50" s="400"/>
      <c r="F50" s="401"/>
      <c r="G50" s="402"/>
      <c r="H50" s="403"/>
      <c r="I50" s="404"/>
      <c r="J50" s="405"/>
      <c r="K50" s="406"/>
      <c r="L50" s="160"/>
    </row>
    <row r="51" spans="1:12" ht="15.75" thickBot="1" x14ac:dyDescent="0.3">
      <c r="A51" s="419" t="str">
        <f>IF(B51&lt;&gt;"",MAX($A$38:A51)+1,"")</f>
        <v/>
      </c>
      <c r="B51" s="161"/>
      <c r="C51" s="407"/>
      <c r="D51" s="408"/>
      <c r="E51" s="409"/>
      <c r="F51" s="410"/>
      <c r="G51" s="411"/>
      <c r="H51" s="412"/>
      <c r="I51" s="413"/>
      <c r="J51" s="414"/>
      <c r="K51" s="415"/>
      <c r="L51" s="162"/>
    </row>
    <row r="52" spans="1:12" ht="18" customHeight="1" thickTop="1" x14ac:dyDescent="0.25">
      <c r="A52" s="32"/>
      <c r="B52" s="32"/>
      <c r="C52" s="163"/>
      <c r="D52" s="164"/>
      <c r="E52" s="164"/>
      <c r="F52" s="164"/>
      <c r="G52" s="164"/>
      <c r="H52" s="164"/>
      <c r="I52" s="164"/>
      <c r="J52" s="164"/>
      <c r="K52" s="164"/>
      <c r="L52" s="32"/>
    </row>
    <row r="53" spans="1:12" x14ac:dyDescent="0.25">
      <c r="L53" s="16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65"/>
  <sheetViews>
    <sheetView showGridLines="0" tabSelected="1" workbookViewId="0">
      <selection activeCell="H70" sqref="H70"/>
    </sheetView>
  </sheetViews>
  <sheetFormatPr defaultRowHeight="15" x14ac:dyDescent="0.25"/>
  <cols>
    <col min="1" max="1" width="4" style="38" customWidth="1"/>
    <col min="2" max="2" width="45" style="38" customWidth="1"/>
    <col min="3" max="11" width="3.7109375" style="38" bestFit="1" customWidth="1"/>
    <col min="12" max="12" width="55.42578125" style="38" customWidth="1"/>
    <col min="13" max="16384" width="9.140625" style="38"/>
  </cols>
  <sheetData>
    <row r="1" spans="1:13" s="28" customFormat="1" ht="28.5" customHeight="1" thickBot="1" x14ac:dyDescent="0.3">
      <c r="A1" s="22" t="s">
        <v>249</v>
      </c>
      <c r="B1" s="166"/>
      <c r="C1" s="166"/>
      <c r="D1" s="166"/>
      <c r="E1" s="166"/>
      <c r="F1" s="166"/>
      <c r="G1" s="166"/>
      <c r="H1" s="166"/>
      <c r="I1" s="166"/>
      <c r="J1" s="166"/>
      <c r="K1" s="166"/>
      <c r="L1" s="24" t="s">
        <v>326</v>
      </c>
      <c r="M1" s="167"/>
    </row>
    <row r="2" spans="1:13" ht="16.5" thickTop="1" thickBot="1" x14ac:dyDescent="0.3"/>
    <row r="3" spans="1:13" ht="17.25" thickTop="1" thickBot="1" x14ac:dyDescent="0.3">
      <c r="A3" s="168" t="s">
        <v>215</v>
      </c>
      <c r="B3" s="169"/>
      <c r="C3" s="169"/>
      <c r="D3" s="169"/>
      <c r="E3" s="169"/>
      <c r="F3" s="169"/>
      <c r="G3" s="169"/>
      <c r="H3" s="169"/>
      <c r="I3" s="169"/>
      <c r="J3" s="169"/>
      <c r="K3" s="169"/>
      <c r="L3" s="170"/>
    </row>
    <row r="4" spans="1:13" ht="119.25" thickTop="1" x14ac:dyDescent="0.25">
      <c r="A4" s="365"/>
      <c r="B4" s="366" t="s">
        <v>216</v>
      </c>
      <c r="C4" s="367" t="s">
        <v>217</v>
      </c>
      <c r="D4" s="368" t="s">
        <v>218</v>
      </c>
      <c r="E4" s="369" t="s">
        <v>219</v>
      </c>
      <c r="F4" s="370" t="s">
        <v>220</v>
      </c>
      <c r="G4" s="371" t="s">
        <v>221</v>
      </c>
      <c r="H4" s="372" t="s">
        <v>312</v>
      </c>
      <c r="I4" s="373" t="s">
        <v>222</v>
      </c>
      <c r="J4" s="374" t="s">
        <v>223</v>
      </c>
      <c r="K4" s="375" t="s">
        <v>224</v>
      </c>
      <c r="L4" s="376" t="s">
        <v>225</v>
      </c>
    </row>
    <row r="5" spans="1:13" x14ac:dyDescent="0.25">
      <c r="A5" s="416" t="str">
        <f>IF(B5&lt;&gt;"",MAX($A$4:A4)+1,"")</f>
        <v/>
      </c>
      <c r="B5" s="359"/>
      <c r="C5" s="398"/>
      <c r="D5" s="399"/>
      <c r="E5" s="400"/>
      <c r="F5" s="401"/>
      <c r="G5" s="402"/>
      <c r="H5" s="403"/>
      <c r="I5" s="404"/>
      <c r="J5" s="405"/>
      <c r="K5" s="406"/>
      <c r="L5" s="362"/>
    </row>
    <row r="6" spans="1:13" x14ac:dyDescent="0.25">
      <c r="A6" s="416" t="str">
        <f>IF(B6&lt;&gt;"",MAX($A$4:A5)+1,"")</f>
        <v/>
      </c>
      <c r="B6" s="360"/>
      <c r="C6" s="398"/>
      <c r="D6" s="399"/>
      <c r="E6" s="400"/>
      <c r="F6" s="401"/>
      <c r="G6" s="402"/>
      <c r="H6" s="403"/>
      <c r="I6" s="404"/>
      <c r="J6" s="405"/>
      <c r="K6" s="406"/>
      <c r="L6" s="363"/>
    </row>
    <row r="7" spans="1:13" x14ac:dyDescent="0.25">
      <c r="A7" s="416" t="str">
        <f>IF(B7&lt;&gt;"",MAX($A$4:A6)+1,"")</f>
        <v/>
      </c>
      <c r="B7" s="360"/>
      <c r="C7" s="398"/>
      <c r="D7" s="399"/>
      <c r="E7" s="400"/>
      <c r="F7" s="401"/>
      <c r="G7" s="402"/>
      <c r="H7" s="403"/>
      <c r="I7" s="404"/>
      <c r="J7" s="405"/>
      <c r="K7" s="406"/>
      <c r="L7" s="363"/>
    </row>
    <row r="8" spans="1:13" x14ac:dyDescent="0.25">
      <c r="A8" s="416" t="str">
        <f>IF(B8&lt;&gt;"",MAX($A$4:A7)+1,"")</f>
        <v/>
      </c>
      <c r="B8" s="360"/>
      <c r="C8" s="398"/>
      <c r="D8" s="399"/>
      <c r="E8" s="400"/>
      <c r="F8" s="401"/>
      <c r="G8" s="402"/>
      <c r="H8" s="403"/>
      <c r="I8" s="404"/>
      <c r="J8" s="405"/>
      <c r="K8" s="406"/>
      <c r="L8" s="363"/>
    </row>
    <row r="9" spans="1:13" x14ac:dyDescent="0.25">
      <c r="A9" s="416" t="str">
        <f>IF(B9&lt;&gt;"",MAX($A$4:A8)+1,"")</f>
        <v/>
      </c>
      <c r="B9" s="360"/>
      <c r="C9" s="398"/>
      <c r="D9" s="399"/>
      <c r="E9" s="400"/>
      <c r="F9" s="401"/>
      <c r="G9" s="402"/>
      <c r="H9" s="403"/>
      <c r="I9" s="404"/>
      <c r="J9" s="405"/>
      <c r="K9" s="406"/>
      <c r="L9" s="363"/>
    </row>
    <row r="10" spans="1:13" x14ac:dyDescent="0.25">
      <c r="A10" s="416" t="str">
        <f>IF(B10&lt;&gt;"",MAX($A$4:A9)+1,"")</f>
        <v/>
      </c>
      <c r="B10" s="360"/>
      <c r="C10" s="398"/>
      <c r="D10" s="399"/>
      <c r="E10" s="400"/>
      <c r="F10" s="401"/>
      <c r="G10" s="402"/>
      <c r="H10" s="403"/>
      <c r="I10" s="404"/>
      <c r="J10" s="405"/>
      <c r="K10" s="406"/>
      <c r="L10" s="363"/>
    </row>
    <row r="11" spans="1:13" x14ac:dyDescent="0.25">
      <c r="A11" s="416" t="str">
        <f>IF(B11&lt;&gt;"",MAX($A$4:A10)+1,"")</f>
        <v/>
      </c>
      <c r="B11" s="360"/>
      <c r="C11" s="398"/>
      <c r="D11" s="399"/>
      <c r="E11" s="400"/>
      <c r="F11" s="401"/>
      <c r="G11" s="402"/>
      <c r="H11" s="403"/>
      <c r="I11" s="404"/>
      <c r="J11" s="405"/>
      <c r="K11" s="406"/>
      <c r="L11" s="363"/>
    </row>
    <row r="12" spans="1:13" x14ac:dyDescent="0.25">
      <c r="A12" s="416" t="str">
        <f>IF(B12&lt;&gt;"",MAX($A$4:A11)+1,"")</f>
        <v/>
      </c>
      <c r="B12" s="360"/>
      <c r="C12" s="398"/>
      <c r="D12" s="399"/>
      <c r="E12" s="400"/>
      <c r="F12" s="401"/>
      <c r="G12" s="402"/>
      <c r="H12" s="403"/>
      <c r="I12" s="404"/>
      <c r="J12" s="405"/>
      <c r="K12" s="406"/>
      <c r="L12" s="363"/>
    </row>
    <row r="13" spans="1:13" x14ac:dyDescent="0.25">
      <c r="A13" s="416" t="str">
        <f>IF(B13&lt;&gt;"",MAX($A$4:A12)+1,"")</f>
        <v/>
      </c>
      <c r="B13" s="360"/>
      <c r="C13" s="398"/>
      <c r="D13" s="399"/>
      <c r="E13" s="400"/>
      <c r="F13" s="401"/>
      <c r="G13" s="402"/>
      <c r="H13" s="403"/>
      <c r="I13" s="404"/>
      <c r="J13" s="405"/>
      <c r="K13" s="406"/>
      <c r="L13" s="363"/>
    </row>
    <row r="14" spans="1:13" x14ac:dyDescent="0.25">
      <c r="A14" s="416" t="str">
        <f>IF(B14&lt;&gt;"",MAX($A$4:A13)+1,"")</f>
        <v/>
      </c>
      <c r="B14" s="360"/>
      <c r="C14" s="398"/>
      <c r="D14" s="399"/>
      <c r="E14" s="400"/>
      <c r="F14" s="401"/>
      <c r="G14" s="402"/>
      <c r="H14" s="403"/>
      <c r="I14" s="404"/>
      <c r="J14" s="405"/>
      <c r="K14" s="406"/>
      <c r="L14" s="363"/>
    </row>
    <row r="15" spans="1:13" x14ac:dyDescent="0.25">
      <c r="A15" s="416" t="str">
        <f>IF(B15&lt;&gt;"",MAX($A$4:A14)+1,"")</f>
        <v/>
      </c>
      <c r="B15" s="360"/>
      <c r="C15" s="398"/>
      <c r="D15" s="399"/>
      <c r="E15" s="400"/>
      <c r="F15" s="401"/>
      <c r="G15" s="402"/>
      <c r="H15" s="403"/>
      <c r="I15" s="404"/>
      <c r="J15" s="405"/>
      <c r="K15" s="406"/>
      <c r="L15" s="363"/>
    </row>
    <row r="16" spans="1:13" ht="15.75" thickBot="1" x14ac:dyDescent="0.3">
      <c r="A16" s="417" t="str">
        <f>IF(B16&lt;&gt;"",MAX($A$4:A15)+1,"")</f>
        <v/>
      </c>
      <c r="B16" s="361"/>
      <c r="C16" s="407"/>
      <c r="D16" s="408"/>
      <c r="E16" s="409"/>
      <c r="F16" s="410"/>
      <c r="G16" s="411"/>
      <c r="H16" s="412"/>
      <c r="I16" s="413"/>
      <c r="J16" s="414"/>
      <c r="K16" s="415"/>
      <c r="L16" s="364"/>
    </row>
    <row r="17" spans="1:12" ht="15.75" thickTop="1" x14ac:dyDescent="0.25">
      <c r="A17" s="178"/>
      <c r="B17" s="178"/>
      <c r="C17" s="178"/>
      <c r="D17" s="178"/>
      <c r="E17" s="178"/>
      <c r="F17" s="178"/>
      <c r="G17" s="178"/>
      <c r="H17" s="178"/>
      <c r="I17" s="178"/>
      <c r="J17" s="178"/>
      <c r="K17" s="178"/>
      <c r="L17" s="178"/>
    </row>
    <row r="18" spans="1:12" ht="15.75" thickBot="1" x14ac:dyDescent="0.3"/>
    <row r="19" spans="1:12" ht="17.25" thickTop="1" thickBot="1" x14ac:dyDescent="0.3">
      <c r="A19" s="168" t="s">
        <v>215</v>
      </c>
      <c r="B19" s="169"/>
      <c r="C19" s="169"/>
      <c r="D19" s="169"/>
      <c r="E19" s="169"/>
      <c r="F19" s="169"/>
      <c r="G19" s="169"/>
      <c r="H19" s="169"/>
      <c r="I19" s="169"/>
      <c r="J19" s="169"/>
      <c r="K19" s="169"/>
      <c r="L19" s="170"/>
    </row>
    <row r="20" spans="1:12" ht="119.25" thickTop="1" x14ac:dyDescent="0.25">
      <c r="A20" s="171"/>
      <c r="B20" s="172" t="s">
        <v>216</v>
      </c>
      <c r="C20" s="367" t="s">
        <v>217</v>
      </c>
      <c r="D20" s="368" t="s">
        <v>218</v>
      </c>
      <c r="E20" s="369" t="s">
        <v>219</v>
      </c>
      <c r="F20" s="370" t="s">
        <v>220</v>
      </c>
      <c r="G20" s="371" t="s">
        <v>221</v>
      </c>
      <c r="H20" s="372" t="s">
        <v>312</v>
      </c>
      <c r="I20" s="373" t="s">
        <v>222</v>
      </c>
      <c r="J20" s="374" t="s">
        <v>223</v>
      </c>
      <c r="K20" s="375" t="s">
        <v>224</v>
      </c>
      <c r="L20" s="173" t="s">
        <v>225</v>
      </c>
    </row>
    <row r="21" spans="1:12" x14ac:dyDescent="0.25">
      <c r="A21" s="174" t="str">
        <f>IF(B21&lt;&gt;"",MAX($A$4:A20)+1,"")</f>
        <v/>
      </c>
      <c r="B21" s="175"/>
      <c r="C21" s="398"/>
      <c r="D21" s="399"/>
      <c r="E21" s="400"/>
      <c r="F21" s="401"/>
      <c r="G21" s="402"/>
      <c r="H21" s="403"/>
      <c r="I21" s="404"/>
      <c r="J21" s="405"/>
      <c r="K21" s="406"/>
      <c r="L21" s="176"/>
    </row>
    <row r="22" spans="1:12" x14ac:dyDescent="0.25">
      <c r="A22" s="174" t="str">
        <f>IF(B22&lt;&gt;"",MAX($A$4:A21)+1,"")</f>
        <v/>
      </c>
      <c r="B22" s="131"/>
      <c r="C22" s="398"/>
      <c r="D22" s="399"/>
      <c r="E22" s="400"/>
      <c r="F22" s="401"/>
      <c r="G22" s="402"/>
      <c r="H22" s="403"/>
      <c r="I22" s="404"/>
      <c r="J22" s="405"/>
      <c r="K22" s="406"/>
      <c r="L22" s="132"/>
    </row>
    <row r="23" spans="1:12" x14ac:dyDescent="0.25">
      <c r="A23" s="174" t="str">
        <f>IF(B23&lt;&gt;"",MAX($A$4:A22)+1,"")</f>
        <v/>
      </c>
      <c r="B23" s="131"/>
      <c r="C23" s="398"/>
      <c r="D23" s="399"/>
      <c r="E23" s="400"/>
      <c r="F23" s="401"/>
      <c r="G23" s="402"/>
      <c r="H23" s="403"/>
      <c r="I23" s="404"/>
      <c r="J23" s="405"/>
      <c r="K23" s="406"/>
      <c r="L23" s="132"/>
    </row>
    <row r="24" spans="1:12" x14ac:dyDescent="0.25">
      <c r="A24" s="174" t="str">
        <f>IF(B24&lt;&gt;"",MAX($A$4:A23)+1,"")</f>
        <v/>
      </c>
      <c r="B24" s="131"/>
      <c r="C24" s="398"/>
      <c r="D24" s="399"/>
      <c r="E24" s="400"/>
      <c r="F24" s="401"/>
      <c r="G24" s="402"/>
      <c r="H24" s="403"/>
      <c r="I24" s="404"/>
      <c r="J24" s="405"/>
      <c r="K24" s="406"/>
      <c r="L24" s="132"/>
    </row>
    <row r="25" spans="1:12" x14ac:dyDescent="0.25">
      <c r="A25" s="174" t="str">
        <f>IF(B25&lt;&gt;"",MAX($A$4:A24)+1,"")</f>
        <v/>
      </c>
      <c r="B25" s="131"/>
      <c r="C25" s="398"/>
      <c r="D25" s="399"/>
      <c r="E25" s="400"/>
      <c r="F25" s="401"/>
      <c r="G25" s="402"/>
      <c r="H25" s="403"/>
      <c r="I25" s="404"/>
      <c r="J25" s="405"/>
      <c r="K25" s="406"/>
      <c r="L25" s="132"/>
    </row>
    <row r="26" spans="1:12" x14ac:dyDescent="0.25">
      <c r="A26" s="174" t="str">
        <f>IF(B26&lt;&gt;"",MAX($A$4:A25)+1,"")</f>
        <v/>
      </c>
      <c r="B26" s="131"/>
      <c r="C26" s="398"/>
      <c r="D26" s="399"/>
      <c r="E26" s="400"/>
      <c r="F26" s="401"/>
      <c r="G26" s="402"/>
      <c r="H26" s="403"/>
      <c r="I26" s="404"/>
      <c r="J26" s="405"/>
      <c r="K26" s="406"/>
      <c r="L26" s="132"/>
    </row>
    <row r="27" spans="1:12" x14ac:dyDescent="0.25">
      <c r="A27" s="174" t="str">
        <f>IF(B27&lt;&gt;"",MAX($A$4:A26)+1,"")</f>
        <v/>
      </c>
      <c r="B27" s="131"/>
      <c r="C27" s="398"/>
      <c r="D27" s="399"/>
      <c r="E27" s="400"/>
      <c r="F27" s="401"/>
      <c r="G27" s="402"/>
      <c r="H27" s="403"/>
      <c r="I27" s="404"/>
      <c r="J27" s="405"/>
      <c r="K27" s="406"/>
      <c r="L27" s="132"/>
    </row>
    <row r="28" spans="1:12" x14ac:dyDescent="0.25">
      <c r="A28" s="174" t="str">
        <f>IF(B28&lt;&gt;"",MAX($A$4:A27)+1,"")</f>
        <v/>
      </c>
      <c r="B28" s="131"/>
      <c r="C28" s="398"/>
      <c r="D28" s="399"/>
      <c r="E28" s="400"/>
      <c r="F28" s="401"/>
      <c r="G28" s="402"/>
      <c r="H28" s="403"/>
      <c r="I28" s="404"/>
      <c r="J28" s="405"/>
      <c r="K28" s="406"/>
      <c r="L28" s="132"/>
    </row>
    <row r="29" spans="1:12" x14ac:dyDescent="0.25">
      <c r="A29" s="174" t="str">
        <f>IF(B29&lt;&gt;"",MAX($A$4:A28)+1,"")</f>
        <v/>
      </c>
      <c r="B29" s="131"/>
      <c r="C29" s="398"/>
      <c r="D29" s="399"/>
      <c r="E29" s="400"/>
      <c r="F29" s="401"/>
      <c r="G29" s="402"/>
      <c r="H29" s="403"/>
      <c r="I29" s="404"/>
      <c r="J29" s="405"/>
      <c r="K29" s="406"/>
      <c r="L29" s="132"/>
    </row>
    <row r="30" spans="1:12" x14ac:dyDescent="0.25">
      <c r="A30" s="174" t="str">
        <f>IF(B30&lt;&gt;"",MAX($A$4:A29)+1,"")</f>
        <v/>
      </c>
      <c r="B30" s="131"/>
      <c r="C30" s="398"/>
      <c r="D30" s="399"/>
      <c r="E30" s="400"/>
      <c r="F30" s="401"/>
      <c r="G30" s="402"/>
      <c r="H30" s="403"/>
      <c r="I30" s="404"/>
      <c r="J30" s="405"/>
      <c r="K30" s="406"/>
      <c r="L30" s="132"/>
    </row>
    <row r="31" spans="1:12" x14ac:dyDescent="0.25">
      <c r="A31" s="174" t="str">
        <f>IF(B31&lt;&gt;"",MAX($A$4:A30)+1,"")</f>
        <v/>
      </c>
      <c r="B31" s="131"/>
      <c r="C31" s="398"/>
      <c r="D31" s="399"/>
      <c r="E31" s="400"/>
      <c r="F31" s="401"/>
      <c r="G31" s="402"/>
      <c r="H31" s="403"/>
      <c r="I31" s="404"/>
      <c r="J31" s="405"/>
      <c r="K31" s="406"/>
      <c r="L31" s="132"/>
    </row>
    <row r="32" spans="1:12" ht="15.75" thickBot="1" x14ac:dyDescent="0.3">
      <c r="A32" s="177" t="str">
        <f>IF(B32&lt;&gt;"",MAX($A$4:A31)+1,"")</f>
        <v/>
      </c>
      <c r="B32" s="135"/>
      <c r="C32" s="407"/>
      <c r="D32" s="408"/>
      <c r="E32" s="409"/>
      <c r="F32" s="410"/>
      <c r="G32" s="411"/>
      <c r="H32" s="412"/>
      <c r="I32" s="413"/>
      <c r="J32" s="414"/>
      <c r="K32" s="415"/>
      <c r="L32" s="136"/>
    </row>
    <row r="33" spans="1:12" ht="15.75" thickTop="1" x14ac:dyDescent="0.25"/>
    <row r="34" spans="1:12" ht="15.75" thickBot="1" x14ac:dyDescent="0.3"/>
    <row r="35" spans="1:12" ht="17.25" thickTop="1" thickBot="1" x14ac:dyDescent="0.3">
      <c r="A35" s="168" t="s">
        <v>215</v>
      </c>
      <c r="B35" s="169"/>
      <c r="C35" s="169"/>
      <c r="D35" s="169"/>
      <c r="E35" s="169"/>
      <c r="F35" s="169"/>
      <c r="G35" s="169"/>
      <c r="H35" s="169"/>
      <c r="I35" s="169"/>
      <c r="J35" s="169"/>
      <c r="K35" s="169"/>
      <c r="L35" s="170"/>
    </row>
    <row r="36" spans="1:12" ht="119.25" thickTop="1" x14ac:dyDescent="0.25">
      <c r="A36" s="171"/>
      <c r="B36" s="172" t="s">
        <v>216</v>
      </c>
      <c r="C36" s="367" t="s">
        <v>217</v>
      </c>
      <c r="D36" s="368" t="s">
        <v>218</v>
      </c>
      <c r="E36" s="369" t="s">
        <v>219</v>
      </c>
      <c r="F36" s="370" t="s">
        <v>220</v>
      </c>
      <c r="G36" s="371" t="s">
        <v>221</v>
      </c>
      <c r="H36" s="372" t="s">
        <v>312</v>
      </c>
      <c r="I36" s="373" t="s">
        <v>222</v>
      </c>
      <c r="J36" s="374" t="s">
        <v>223</v>
      </c>
      <c r="K36" s="375" t="s">
        <v>224</v>
      </c>
      <c r="L36" s="173" t="s">
        <v>225</v>
      </c>
    </row>
    <row r="37" spans="1:12" x14ac:dyDescent="0.25">
      <c r="A37" s="174" t="str">
        <f>IF(B37&lt;&gt;"",MAX($A$4:A36)+1,"")</f>
        <v/>
      </c>
      <c r="B37" s="175"/>
      <c r="C37" s="398"/>
      <c r="D37" s="399"/>
      <c r="E37" s="400"/>
      <c r="F37" s="401"/>
      <c r="G37" s="402"/>
      <c r="H37" s="403"/>
      <c r="I37" s="404"/>
      <c r="J37" s="405"/>
      <c r="K37" s="406"/>
      <c r="L37" s="176"/>
    </row>
    <row r="38" spans="1:12" x14ac:dyDescent="0.25">
      <c r="A38" s="174" t="str">
        <f>IF(B38&lt;&gt;"",MAX($A$4:A37)+1,"")</f>
        <v/>
      </c>
      <c r="B38" s="131"/>
      <c r="C38" s="398"/>
      <c r="D38" s="399"/>
      <c r="E38" s="400"/>
      <c r="F38" s="401"/>
      <c r="G38" s="402"/>
      <c r="H38" s="403"/>
      <c r="I38" s="404"/>
      <c r="J38" s="405"/>
      <c r="K38" s="406"/>
      <c r="L38" s="132"/>
    </row>
    <row r="39" spans="1:12" x14ac:dyDescent="0.25">
      <c r="A39" s="174" t="str">
        <f>IF(B39&lt;&gt;"",MAX($A$4:A38)+1,"")</f>
        <v/>
      </c>
      <c r="B39" s="131"/>
      <c r="C39" s="398"/>
      <c r="D39" s="399"/>
      <c r="E39" s="400"/>
      <c r="F39" s="401"/>
      <c r="G39" s="402"/>
      <c r="H39" s="403"/>
      <c r="I39" s="404"/>
      <c r="J39" s="405"/>
      <c r="K39" s="406"/>
      <c r="L39" s="132"/>
    </row>
    <row r="40" spans="1:12" x14ac:dyDescent="0.25">
      <c r="A40" s="174" t="str">
        <f>IF(B40&lt;&gt;"",MAX($A$4:A39)+1,"")</f>
        <v/>
      </c>
      <c r="B40" s="131"/>
      <c r="C40" s="398"/>
      <c r="D40" s="399"/>
      <c r="E40" s="400"/>
      <c r="F40" s="401"/>
      <c r="G40" s="402"/>
      <c r="H40" s="403"/>
      <c r="I40" s="404"/>
      <c r="J40" s="405"/>
      <c r="K40" s="406"/>
      <c r="L40" s="132"/>
    </row>
    <row r="41" spans="1:12" x14ac:dyDescent="0.25">
      <c r="A41" s="174" t="str">
        <f>IF(B41&lt;&gt;"",MAX($A$4:A40)+1,"")</f>
        <v/>
      </c>
      <c r="B41" s="131"/>
      <c r="C41" s="398"/>
      <c r="D41" s="399"/>
      <c r="E41" s="400"/>
      <c r="F41" s="401"/>
      <c r="G41" s="402"/>
      <c r="H41" s="403"/>
      <c r="I41" s="404"/>
      <c r="J41" s="405"/>
      <c r="K41" s="406"/>
      <c r="L41" s="132"/>
    </row>
    <row r="42" spans="1:12" x14ac:dyDescent="0.25">
      <c r="A42" s="174" t="str">
        <f>IF(B42&lt;&gt;"",MAX($A$4:A41)+1,"")</f>
        <v/>
      </c>
      <c r="B42" s="131"/>
      <c r="C42" s="398"/>
      <c r="D42" s="399"/>
      <c r="E42" s="400"/>
      <c r="F42" s="401"/>
      <c r="G42" s="402"/>
      <c r="H42" s="403"/>
      <c r="I42" s="404"/>
      <c r="J42" s="405"/>
      <c r="K42" s="406"/>
      <c r="L42" s="132"/>
    </row>
    <row r="43" spans="1:12" x14ac:dyDescent="0.25">
      <c r="A43" s="174" t="str">
        <f>IF(B43&lt;&gt;"",MAX($A$4:A42)+1,"")</f>
        <v/>
      </c>
      <c r="B43" s="131"/>
      <c r="C43" s="398"/>
      <c r="D43" s="399"/>
      <c r="E43" s="400"/>
      <c r="F43" s="401"/>
      <c r="G43" s="402"/>
      <c r="H43" s="403"/>
      <c r="I43" s="404"/>
      <c r="J43" s="405"/>
      <c r="K43" s="406"/>
      <c r="L43" s="132"/>
    </row>
    <row r="44" spans="1:12" x14ac:dyDescent="0.25">
      <c r="A44" s="174" t="str">
        <f>IF(B44&lt;&gt;"",MAX($A$4:A43)+1,"")</f>
        <v/>
      </c>
      <c r="B44" s="131"/>
      <c r="C44" s="398"/>
      <c r="D44" s="399"/>
      <c r="E44" s="400"/>
      <c r="F44" s="401"/>
      <c r="G44" s="402"/>
      <c r="H44" s="403"/>
      <c r="I44" s="404"/>
      <c r="J44" s="405"/>
      <c r="K44" s="406"/>
      <c r="L44" s="132"/>
    </row>
    <row r="45" spans="1:12" x14ac:dyDescent="0.25">
      <c r="A45" s="174" t="str">
        <f>IF(B45&lt;&gt;"",MAX($A$4:A44)+1,"")</f>
        <v/>
      </c>
      <c r="B45" s="131"/>
      <c r="C45" s="398"/>
      <c r="D45" s="399"/>
      <c r="E45" s="400"/>
      <c r="F45" s="401"/>
      <c r="G45" s="402"/>
      <c r="H45" s="403"/>
      <c r="I45" s="404"/>
      <c r="J45" s="405"/>
      <c r="K45" s="406"/>
      <c r="L45" s="132"/>
    </row>
    <row r="46" spans="1:12" x14ac:dyDescent="0.25">
      <c r="A46" s="174" t="str">
        <f>IF(B46&lt;&gt;"",MAX($A$4:A45)+1,"")</f>
        <v/>
      </c>
      <c r="B46" s="131"/>
      <c r="C46" s="398"/>
      <c r="D46" s="399"/>
      <c r="E46" s="400"/>
      <c r="F46" s="401"/>
      <c r="G46" s="402"/>
      <c r="H46" s="403"/>
      <c r="I46" s="404"/>
      <c r="J46" s="405"/>
      <c r="K46" s="406"/>
      <c r="L46" s="132"/>
    </row>
    <row r="47" spans="1:12" x14ac:dyDescent="0.25">
      <c r="A47" s="174" t="str">
        <f>IF(B47&lt;&gt;"",MAX($A$4:A46)+1,"")</f>
        <v/>
      </c>
      <c r="B47" s="131"/>
      <c r="C47" s="398"/>
      <c r="D47" s="399"/>
      <c r="E47" s="400"/>
      <c r="F47" s="401"/>
      <c r="G47" s="402"/>
      <c r="H47" s="403"/>
      <c r="I47" s="404"/>
      <c r="J47" s="405"/>
      <c r="K47" s="406"/>
      <c r="L47" s="132"/>
    </row>
    <row r="48" spans="1:12" ht="15.75" thickBot="1" x14ac:dyDescent="0.3">
      <c r="A48" s="177" t="str">
        <f>IF(B48&lt;&gt;"",MAX($A$4:A47)+1,"")</f>
        <v/>
      </c>
      <c r="B48" s="135"/>
      <c r="C48" s="407"/>
      <c r="D48" s="408"/>
      <c r="E48" s="409"/>
      <c r="F48" s="410"/>
      <c r="G48" s="411"/>
      <c r="H48" s="412"/>
      <c r="I48" s="413"/>
      <c r="J48" s="414"/>
      <c r="K48" s="415"/>
      <c r="L48" s="136"/>
    </row>
    <row r="49" spans="1:12" ht="15.75" thickTop="1" x14ac:dyDescent="0.25"/>
    <row r="50" spans="1:12" ht="15.75" thickBot="1" x14ac:dyDescent="0.3"/>
    <row r="51" spans="1:12" ht="17.25" thickTop="1" thickBot="1" x14ac:dyDescent="0.3">
      <c r="A51" s="168" t="s">
        <v>215</v>
      </c>
      <c r="B51" s="169"/>
      <c r="C51" s="169"/>
      <c r="D51" s="169"/>
      <c r="E51" s="169"/>
      <c r="F51" s="169"/>
      <c r="G51" s="169"/>
      <c r="H51" s="169"/>
      <c r="I51" s="169"/>
      <c r="J51" s="169"/>
      <c r="K51" s="169"/>
      <c r="L51" s="170"/>
    </row>
    <row r="52" spans="1:12" ht="119.25" thickTop="1" x14ac:dyDescent="0.25">
      <c r="A52" s="171"/>
      <c r="B52" s="172" t="s">
        <v>216</v>
      </c>
      <c r="C52" s="367" t="s">
        <v>217</v>
      </c>
      <c r="D52" s="368" t="s">
        <v>218</v>
      </c>
      <c r="E52" s="369" t="s">
        <v>219</v>
      </c>
      <c r="F52" s="370" t="s">
        <v>220</v>
      </c>
      <c r="G52" s="371" t="s">
        <v>221</v>
      </c>
      <c r="H52" s="372" t="s">
        <v>312</v>
      </c>
      <c r="I52" s="373" t="s">
        <v>222</v>
      </c>
      <c r="J52" s="374" t="s">
        <v>223</v>
      </c>
      <c r="K52" s="375" t="s">
        <v>224</v>
      </c>
      <c r="L52" s="173" t="s">
        <v>225</v>
      </c>
    </row>
    <row r="53" spans="1:12" x14ac:dyDescent="0.25">
      <c r="A53" s="174" t="str">
        <f>IF(B53&lt;&gt;"",MAX($A$4:A52)+1,"")</f>
        <v/>
      </c>
      <c r="B53" s="175"/>
      <c r="C53" s="398"/>
      <c r="D53" s="399"/>
      <c r="E53" s="400"/>
      <c r="F53" s="401"/>
      <c r="G53" s="402"/>
      <c r="H53" s="403"/>
      <c r="I53" s="404"/>
      <c r="J53" s="405"/>
      <c r="K53" s="406"/>
      <c r="L53" s="176"/>
    </row>
    <row r="54" spans="1:12" x14ac:dyDescent="0.25">
      <c r="A54" s="174" t="str">
        <f>IF(B54&lt;&gt;"",MAX($A$4:A53)+1,"")</f>
        <v/>
      </c>
      <c r="B54" s="131"/>
      <c r="C54" s="398"/>
      <c r="D54" s="399"/>
      <c r="E54" s="400"/>
      <c r="F54" s="401"/>
      <c r="G54" s="402"/>
      <c r="H54" s="403"/>
      <c r="I54" s="404"/>
      <c r="J54" s="405"/>
      <c r="K54" s="406"/>
      <c r="L54" s="132"/>
    </row>
    <row r="55" spans="1:12" x14ac:dyDescent="0.25">
      <c r="A55" s="174" t="str">
        <f>IF(B55&lt;&gt;"",MAX($A$4:A54)+1,"")</f>
        <v/>
      </c>
      <c r="B55" s="131"/>
      <c r="C55" s="398"/>
      <c r="D55" s="399"/>
      <c r="E55" s="400"/>
      <c r="F55" s="401"/>
      <c r="G55" s="402"/>
      <c r="H55" s="403"/>
      <c r="I55" s="404"/>
      <c r="J55" s="405"/>
      <c r="K55" s="406"/>
      <c r="L55" s="132"/>
    </row>
    <row r="56" spans="1:12" x14ac:dyDescent="0.25">
      <c r="A56" s="174" t="str">
        <f>IF(B56&lt;&gt;"",MAX($A$4:A55)+1,"")</f>
        <v/>
      </c>
      <c r="B56" s="131"/>
      <c r="C56" s="398"/>
      <c r="D56" s="399"/>
      <c r="E56" s="400"/>
      <c r="F56" s="401"/>
      <c r="G56" s="402"/>
      <c r="H56" s="403"/>
      <c r="I56" s="404"/>
      <c r="J56" s="405"/>
      <c r="K56" s="406"/>
      <c r="L56" s="132"/>
    </row>
    <row r="57" spans="1:12" x14ac:dyDescent="0.25">
      <c r="A57" s="174" t="str">
        <f>IF(B57&lt;&gt;"",MAX($A$4:A56)+1,"")</f>
        <v/>
      </c>
      <c r="B57" s="131"/>
      <c r="C57" s="398"/>
      <c r="D57" s="399"/>
      <c r="E57" s="400"/>
      <c r="F57" s="401"/>
      <c r="G57" s="402"/>
      <c r="H57" s="403"/>
      <c r="I57" s="404"/>
      <c r="J57" s="405"/>
      <c r="K57" s="406"/>
      <c r="L57" s="132"/>
    </row>
    <row r="58" spans="1:12" x14ac:dyDescent="0.25">
      <c r="A58" s="174" t="str">
        <f>IF(B58&lt;&gt;"",MAX($A$4:A57)+1,"")</f>
        <v/>
      </c>
      <c r="B58" s="131"/>
      <c r="C58" s="398"/>
      <c r="D58" s="399"/>
      <c r="E58" s="400"/>
      <c r="F58" s="401"/>
      <c r="G58" s="402"/>
      <c r="H58" s="403"/>
      <c r="I58" s="404"/>
      <c r="J58" s="405"/>
      <c r="K58" s="406"/>
      <c r="L58" s="132"/>
    </row>
    <row r="59" spans="1:12" x14ac:dyDescent="0.25">
      <c r="A59" s="174" t="str">
        <f>IF(B59&lt;&gt;"",MAX($A$4:A58)+1,"")</f>
        <v/>
      </c>
      <c r="B59" s="131"/>
      <c r="C59" s="398"/>
      <c r="D59" s="399"/>
      <c r="E59" s="400"/>
      <c r="F59" s="401"/>
      <c r="G59" s="402"/>
      <c r="H59" s="403"/>
      <c r="I59" s="404"/>
      <c r="J59" s="405"/>
      <c r="K59" s="406"/>
      <c r="L59" s="132"/>
    </row>
    <row r="60" spans="1:12" x14ac:dyDescent="0.25">
      <c r="A60" s="174" t="str">
        <f>IF(B60&lt;&gt;"",MAX($A$4:A59)+1,"")</f>
        <v/>
      </c>
      <c r="B60" s="131"/>
      <c r="C60" s="398"/>
      <c r="D60" s="399"/>
      <c r="E60" s="400"/>
      <c r="F60" s="401"/>
      <c r="G60" s="402"/>
      <c r="H60" s="403"/>
      <c r="I60" s="404"/>
      <c r="J60" s="405"/>
      <c r="K60" s="406"/>
      <c r="L60" s="132"/>
    </row>
    <row r="61" spans="1:12" x14ac:dyDescent="0.25">
      <c r="A61" s="174" t="str">
        <f>IF(B61&lt;&gt;"",MAX($A$4:A60)+1,"")</f>
        <v/>
      </c>
      <c r="B61" s="131"/>
      <c r="C61" s="398"/>
      <c r="D61" s="399"/>
      <c r="E61" s="400"/>
      <c r="F61" s="401"/>
      <c r="G61" s="402"/>
      <c r="H61" s="403"/>
      <c r="I61" s="404"/>
      <c r="J61" s="405"/>
      <c r="K61" s="406"/>
      <c r="L61" s="132"/>
    </row>
    <row r="62" spans="1:12" x14ac:dyDescent="0.25">
      <c r="A62" s="174" t="str">
        <f>IF(B62&lt;&gt;"",MAX($A$4:A61)+1,"")</f>
        <v/>
      </c>
      <c r="B62" s="131"/>
      <c r="C62" s="398"/>
      <c r="D62" s="399"/>
      <c r="E62" s="400"/>
      <c r="F62" s="401"/>
      <c r="G62" s="402"/>
      <c r="H62" s="403"/>
      <c r="I62" s="404"/>
      <c r="J62" s="405"/>
      <c r="K62" s="406"/>
      <c r="L62" s="132"/>
    </row>
    <row r="63" spans="1:12" x14ac:dyDescent="0.25">
      <c r="A63" s="174" t="str">
        <f>IF(B63&lt;&gt;"",MAX($A$4:A62)+1,"")</f>
        <v/>
      </c>
      <c r="B63" s="131"/>
      <c r="C63" s="398"/>
      <c r="D63" s="399"/>
      <c r="E63" s="400"/>
      <c r="F63" s="401"/>
      <c r="G63" s="402"/>
      <c r="H63" s="403"/>
      <c r="I63" s="404"/>
      <c r="J63" s="405"/>
      <c r="K63" s="406"/>
      <c r="L63" s="132"/>
    </row>
    <row r="64" spans="1:12" ht="15.75" thickBot="1" x14ac:dyDescent="0.3">
      <c r="A64" s="177" t="str">
        <f>IF(B64&lt;&gt;"",MAX($A$4:A63)+1,"")</f>
        <v/>
      </c>
      <c r="B64" s="135"/>
      <c r="C64" s="407"/>
      <c r="D64" s="408"/>
      <c r="E64" s="409"/>
      <c r="F64" s="410"/>
      <c r="G64" s="411"/>
      <c r="H64" s="412"/>
      <c r="I64" s="413"/>
      <c r="J64" s="414"/>
      <c r="K64" s="415"/>
      <c r="L64" s="136"/>
    </row>
    <row r="65" ht="15.75" thickTop="1" x14ac:dyDescent="0.25"/>
  </sheetData>
  <pageMargins left="0.7" right="0.7" top="0.75" bottom="0.75" header="0.3" footer="0.3"/>
  <pageSetup orientation="portrait" r:id="rId1"/>
  <ignoredErrors>
    <ignoredError sqref="A5:A16 A21:A31 A37:A48 A53:A64" unlocked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Y75"/>
  <sheetViews>
    <sheetView showGridLines="0" workbookViewId="0">
      <selection activeCell="E12" sqref="E12"/>
    </sheetView>
  </sheetViews>
  <sheetFormatPr defaultRowHeight="15" x14ac:dyDescent="0.25"/>
  <cols>
    <col min="1" max="1" width="4.28515625" style="30" customWidth="1"/>
    <col min="2" max="2" width="55.85546875" style="38" customWidth="1"/>
    <col min="3" max="3" width="71.5703125" style="38" customWidth="1"/>
    <col min="4" max="4" width="11.85546875" style="38" customWidth="1"/>
    <col min="5" max="5" width="68.7109375" style="38" customWidth="1"/>
    <col min="6" max="25" width="9.140625" style="38"/>
    <col min="26" max="16384" width="9.140625" style="32"/>
  </cols>
  <sheetData>
    <row r="1" spans="1:6" s="180" customFormat="1" ht="30.75" customHeight="1" thickBot="1" x14ac:dyDescent="0.3">
      <c r="A1" s="22" t="s">
        <v>226</v>
      </c>
      <c r="B1" s="179"/>
      <c r="C1" s="75"/>
      <c r="D1" s="310"/>
      <c r="E1" s="24" t="s">
        <v>326</v>
      </c>
      <c r="F1" s="167"/>
    </row>
    <row r="2" spans="1:6" ht="15.75" thickTop="1" x14ac:dyDescent="0.25">
      <c r="B2" s="32"/>
      <c r="C2" s="32"/>
      <c r="D2" s="32"/>
      <c r="E2" s="32"/>
    </row>
    <row r="3" spans="1:6" ht="15.75" x14ac:dyDescent="0.25">
      <c r="A3" s="356" t="s">
        <v>12</v>
      </c>
      <c r="B3" s="354"/>
      <c r="C3" s="354"/>
      <c r="D3" s="32"/>
      <c r="E3" s="32"/>
    </row>
    <row r="4" spans="1:6" x14ac:dyDescent="0.25">
      <c r="A4" s="150"/>
      <c r="B4" s="353" t="s">
        <v>74</v>
      </c>
      <c r="C4" s="354"/>
      <c r="D4" s="32"/>
      <c r="E4" s="32"/>
    </row>
    <row r="5" spans="1:6" x14ac:dyDescent="0.25">
      <c r="A5" s="150"/>
      <c r="B5" s="355" t="s">
        <v>307</v>
      </c>
      <c r="C5" s="354"/>
      <c r="D5" s="32"/>
      <c r="E5" s="32"/>
    </row>
    <row r="6" spans="1:6" x14ac:dyDescent="0.25">
      <c r="A6" s="150"/>
      <c r="B6" s="355" t="s">
        <v>330</v>
      </c>
      <c r="C6" s="354"/>
      <c r="D6" s="32"/>
      <c r="E6" s="32"/>
    </row>
    <row r="7" spans="1:6" x14ac:dyDescent="0.25">
      <c r="A7" s="152"/>
      <c r="B7" s="32"/>
      <c r="C7" s="32"/>
      <c r="D7" s="32"/>
      <c r="E7" s="32"/>
    </row>
    <row r="8" spans="1:6" ht="15.75" x14ac:dyDescent="0.25">
      <c r="A8" s="356" t="s">
        <v>341</v>
      </c>
      <c r="B8" s="354"/>
      <c r="C8" s="354"/>
      <c r="D8" s="32"/>
      <c r="E8" s="32"/>
    </row>
    <row r="9" spans="1:6" x14ac:dyDescent="0.25">
      <c r="A9" s="148"/>
      <c r="B9" s="353" t="s">
        <v>313</v>
      </c>
      <c r="C9" s="354"/>
      <c r="D9" s="32"/>
      <c r="E9" s="32"/>
    </row>
    <row r="10" spans="1:6" x14ac:dyDescent="0.25">
      <c r="A10" s="148"/>
      <c r="B10" s="353" t="s">
        <v>342</v>
      </c>
      <c r="C10" s="354"/>
      <c r="D10" s="32"/>
      <c r="E10" s="32"/>
    </row>
    <row r="11" spans="1:6" x14ac:dyDescent="0.25">
      <c r="A11" s="148"/>
      <c r="B11" s="353" t="s">
        <v>73</v>
      </c>
      <c r="C11" s="354"/>
      <c r="D11" s="32"/>
      <c r="E11" s="86"/>
    </row>
    <row r="12" spans="1:6" x14ac:dyDescent="0.25">
      <c r="A12" s="148"/>
      <c r="B12" s="32"/>
      <c r="C12" s="32"/>
      <c r="D12" s="32"/>
      <c r="E12" s="86"/>
    </row>
    <row r="13" spans="1:6" ht="15.75" x14ac:dyDescent="0.25">
      <c r="A13" s="356" t="s">
        <v>343</v>
      </c>
      <c r="B13" s="354"/>
      <c r="C13" s="354"/>
      <c r="D13" s="32"/>
      <c r="E13" s="86"/>
    </row>
    <row r="14" spans="1:6" x14ac:dyDescent="0.25">
      <c r="B14" s="357" t="s">
        <v>314</v>
      </c>
      <c r="C14" s="354"/>
      <c r="D14" s="32"/>
      <c r="E14" s="86"/>
    </row>
    <row r="15" spans="1:6" x14ac:dyDescent="0.25">
      <c r="A15" s="150"/>
      <c r="B15" s="355" t="s">
        <v>345</v>
      </c>
      <c r="C15" s="354"/>
      <c r="D15" s="32"/>
      <c r="E15" s="86"/>
    </row>
    <row r="16" spans="1:6" x14ac:dyDescent="0.25">
      <c r="A16" s="150"/>
      <c r="B16" s="355" t="s">
        <v>346</v>
      </c>
      <c r="C16" s="354"/>
      <c r="D16" s="32"/>
      <c r="E16" s="86"/>
    </row>
    <row r="17" spans="1:5" x14ac:dyDescent="0.25">
      <c r="A17" s="150"/>
      <c r="B17" s="355" t="s">
        <v>344</v>
      </c>
      <c r="C17" s="354"/>
      <c r="D17" s="32"/>
      <c r="E17" s="86"/>
    </row>
    <row r="18" spans="1:5" x14ac:dyDescent="0.25">
      <c r="A18" s="150"/>
      <c r="B18" s="355" t="s">
        <v>347</v>
      </c>
      <c r="C18" s="354"/>
      <c r="D18" s="32"/>
      <c r="E18" s="86"/>
    </row>
    <row r="19" spans="1:5" x14ac:dyDescent="0.25">
      <c r="A19" s="150"/>
      <c r="B19" s="355" t="s">
        <v>340</v>
      </c>
      <c r="C19" s="354"/>
      <c r="D19" s="32"/>
      <c r="E19" s="86"/>
    </row>
    <row r="20" spans="1:5" x14ac:dyDescent="0.25">
      <c r="A20" s="148"/>
      <c r="B20" s="32"/>
      <c r="C20" s="32"/>
      <c r="D20" s="32"/>
      <c r="E20" s="32"/>
    </row>
    <row r="21" spans="1:5" ht="15.75" thickBot="1" x14ac:dyDescent="0.3">
      <c r="A21" s="148"/>
      <c r="B21" s="89" t="s">
        <v>25</v>
      </c>
      <c r="C21" s="90"/>
      <c r="D21" s="90"/>
      <c r="E21" s="32"/>
    </row>
    <row r="22" spans="1:5" ht="16.5" thickTop="1" thickBot="1" x14ac:dyDescent="0.3">
      <c r="A22" s="148"/>
      <c r="B22" s="182" t="s">
        <v>12</v>
      </c>
      <c r="C22" s="183" t="s">
        <v>97</v>
      </c>
      <c r="D22" s="183" t="s">
        <v>0</v>
      </c>
      <c r="E22" s="183" t="s">
        <v>3</v>
      </c>
    </row>
    <row r="23" spans="1:5" ht="15.75" thickTop="1" x14ac:dyDescent="0.25">
      <c r="A23" s="148"/>
      <c r="B23" s="184" t="s">
        <v>1</v>
      </c>
      <c r="C23" s="185"/>
      <c r="D23" s="185"/>
      <c r="E23" s="186"/>
    </row>
    <row r="24" spans="1:5" x14ac:dyDescent="0.25">
      <c r="A24" s="148"/>
      <c r="B24" s="187" t="s">
        <v>75</v>
      </c>
      <c r="C24" s="188"/>
      <c r="D24" s="188"/>
      <c r="E24" s="189"/>
    </row>
    <row r="25" spans="1:5" x14ac:dyDescent="0.25">
      <c r="A25" s="148"/>
      <c r="B25" s="187" t="s">
        <v>77</v>
      </c>
      <c r="C25" s="188" t="s">
        <v>8</v>
      </c>
      <c r="D25" s="188" t="s">
        <v>98</v>
      </c>
      <c r="E25" s="189"/>
    </row>
    <row r="26" spans="1:5" x14ac:dyDescent="0.25">
      <c r="A26" s="148"/>
      <c r="B26" s="187" t="s">
        <v>78</v>
      </c>
      <c r="C26" s="188" t="s">
        <v>8</v>
      </c>
      <c r="D26" s="188"/>
      <c r="E26" s="189"/>
    </row>
    <row r="27" spans="1:5" x14ac:dyDescent="0.25">
      <c r="A27" s="148"/>
      <c r="B27" s="187" t="s">
        <v>76</v>
      </c>
      <c r="C27" s="188" t="s">
        <v>7</v>
      </c>
      <c r="D27" s="188" t="s">
        <v>11</v>
      </c>
      <c r="E27" s="189"/>
    </row>
    <row r="28" spans="1:5" x14ac:dyDescent="0.25">
      <c r="A28" s="148"/>
      <c r="B28" s="187" t="s">
        <v>79</v>
      </c>
      <c r="C28" s="188" t="s">
        <v>7</v>
      </c>
      <c r="D28" s="188"/>
      <c r="E28" s="189"/>
    </row>
    <row r="29" spans="1:5" x14ac:dyDescent="0.25">
      <c r="A29" s="148"/>
      <c r="B29" s="187" t="s">
        <v>35</v>
      </c>
      <c r="C29" s="188"/>
      <c r="D29" s="188" t="s">
        <v>10</v>
      </c>
      <c r="E29" s="189"/>
    </row>
    <row r="30" spans="1:5" ht="15.75" thickBot="1" x14ac:dyDescent="0.3">
      <c r="A30" s="148"/>
      <c r="B30" s="190" t="s">
        <v>80</v>
      </c>
      <c r="C30" s="191"/>
      <c r="D30" s="191"/>
      <c r="E30" s="192"/>
    </row>
    <row r="31" spans="1:5" ht="15.75" thickTop="1" x14ac:dyDescent="0.25">
      <c r="A31" s="148"/>
      <c r="B31" s="111"/>
      <c r="C31" s="111"/>
      <c r="D31" s="111"/>
      <c r="E31" s="111"/>
    </row>
    <row r="32" spans="1:5" ht="19.5" thickBot="1" x14ac:dyDescent="0.35">
      <c r="A32" s="193" t="s">
        <v>328</v>
      </c>
      <c r="B32" s="111"/>
      <c r="C32" s="111"/>
      <c r="D32" s="111"/>
      <c r="E32" s="111"/>
    </row>
    <row r="33" spans="1:25" ht="16.5" thickTop="1" x14ac:dyDescent="0.25">
      <c r="A33" s="194"/>
      <c r="B33" s="195" t="s">
        <v>329</v>
      </c>
      <c r="C33" s="339" t="s">
        <v>89</v>
      </c>
      <c r="D33" s="340"/>
      <c r="E33" s="196" t="s">
        <v>315</v>
      </c>
    </row>
    <row r="34" spans="1:25" x14ac:dyDescent="0.25">
      <c r="A34" s="201" t="str">
        <f>IF(OR(B34&lt;&gt;"",C34&lt;&gt;"",D34&lt;&gt;"",E34&lt;&gt;""),A33+1,"")</f>
        <v/>
      </c>
      <c r="B34" s="202"/>
      <c r="C34" s="347"/>
      <c r="D34" s="348"/>
      <c r="E34" s="203"/>
    </row>
    <row r="35" spans="1:25" s="306" customFormat="1" x14ac:dyDescent="0.25">
      <c r="A35" s="300" t="str">
        <f>IF(OR(B35&lt;&gt;"",C35&lt;&gt;"",D35&lt;&gt;"",E35&lt;&gt;""),A34+1,"")</f>
        <v/>
      </c>
      <c r="B35" s="301"/>
      <c r="C35" s="302"/>
      <c r="D35" s="303"/>
      <c r="E35" s="304"/>
      <c r="F35" s="305"/>
      <c r="G35" s="305"/>
      <c r="H35" s="305"/>
      <c r="I35" s="305"/>
      <c r="J35" s="305"/>
      <c r="K35" s="305"/>
      <c r="L35" s="305"/>
      <c r="M35" s="305"/>
      <c r="N35" s="305"/>
      <c r="O35" s="305"/>
      <c r="P35" s="305"/>
      <c r="Q35" s="305"/>
      <c r="R35" s="305"/>
      <c r="S35" s="305"/>
      <c r="T35" s="305"/>
      <c r="U35" s="305"/>
      <c r="V35" s="305"/>
      <c r="W35" s="305"/>
      <c r="X35" s="305"/>
      <c r="Y35" s="305"/>
    </row>
    <row r="36" spans="1:25" s="306" customFormat="1" x14ac:dyDescent="0.25">
      <c r="A36" s="300" t="e">
        <f>IF(OR(B36&lt;&gt;"",C36&lt;&gt;"",D36&lt;&gt;"",E36&lt;&gt;""),A34+1,"")</f>
        <v>#VALUE!</v>
      </c>
      <c r="B36" s="301" t="s">
        <v>331</v>
      </c>
      <c r="C36" s="351" t="s">
        <v>334</v>
      </c>
      <c r="D36" s="352"/>
      <c r="E36" s="304" t="s">
        <v>337</v>
      </c>
      <c r="F36" s="305"/>
      <c r="G36" s="305"/>
      <c r="H36" s="305"/>
      <c r="I36" s="305"/>
      <c r="J36" s="305"/>
      <c r="K36" s="305"/>
      <c r="L36" s="305"/>
      <c r="M36" s="305"/>
      <c r="N36" s="305"/>
      <c r="O36" s="305"/>
      <c r="P36" s="305"/>
      <c r="Q36" s="305"/>
      <c r="R36" s="305"/>
      <c r="S36" s="305"/>
      <c r="T36" s="305"/>
      <c r="U36" s="305"/>
      <c r="V36" s="305"/>
      <c r="W36" s="305"/>
      <c r="X36" s="305"/>
      <c r="Y36" s="305"/>
    </row>
    <row r="37" spans="1:25" s="306" customFormat="1" x14ac:dyDescent="0.25">
      <c r="A37" s="300" t="e">
        <f t="shared" ref="A37:A38" si="0">IF(OR(B37&lt;&gt;"",C37&lt;&gt;"",D37&lt;&gt;"",E37&lt;&gt;""),A36+1,"")</f>
        <v>#VALUE!</v>
      </c>
      <c r="B37" s="301" t="s">
        <v>332</v>
      </c>
      <c r="C37" s="351" t="s">
        <v>335</v>
      </c>
      <c r="D37" s="352"/>
      <c r="E37" s="308" t="s">
        <v>338</v>
      </c>
      <c r="F37" s="305"/>
      <c r="G37" s="305"/>
      <c r="H37" s="305"/>
      <c r="I37" s="305"/>
      <c r="J37" s="305"/>
      <c r="K37" s="305"/>
      <c r="L37" s="305"/>
      <c r="M37" s="305"/>
      <c r="N37" s="305"/>
      <c r="O37" s="305"/>
      <c r="P37" s="305"/>
      <c r="Q37" s="305"/>
      <c r="R37" s="305"/>
      <c r="S37" s="305"/>
      <c r="T37" s="305"/>
      <c r="U37" s="305"/>
      <c r="V37" s="305"/>
      <c r="W37" s="305"/>
      <c r="X37" s="305"/>
      <c r="Y37" s="305"/>
    </row>
    <row r="38" spans="1:25" s="306" customFormat="1" ht="15.75" thickBot="1" x14ac:dyDescent="0.3">
      <c r="A38" s="221" t="e">
        <f t="shared" si="0"/>
        <v>#VALUE!</v>
      </c>
      <c r="B38" s="307" t="s">
        <v>333</v>
      </c>
      <c r="C38" s="337" t="s">
        <v>336</v>
      </c>
      <c r="D38" s="338"/>
      <c r="E38" s="309" t="s">
        <v>339</v>
      </c>
      <c r="F38" s="305"/>
      <c r="G38" s="305"/>
      <c r="H38" s="305"/>
      <c r="I38" s="305"/>
      <c r="J38" s="305"/>
      <c r="K38" s="305"/>
      <c r="L38" s="305"/>
      <c r="M38" s="305"/>
      <c r="N38" s="305"/>
      <c r="O38" s="305"/>
      <c r="P38" s="305"/>
      <c r="Q38" s="305"/>
      <c r="R38" s="305"/>
      <c r="S38" s="305"/>
      <c r="T38" s="305"/>
      <c r="U38" s="305"/>
      <c r="V38" s="305"/>
      <c r="W38" s="305"/>
      <c r="X38" s="305"/>
      <c r="Y38" s="305"/>
    </row>
    <row r="39" spans="1:25" ht="15.75" thickTop="1" x14ac:dyDescent="0.25">
      <c r="A39" s="148"/>
      <c r="B39" s="111"/>
      <c r="C39" s="111"/>
      <c r="D39" s="111"/>
      <c r="E39" s="111"/>
    </row>
    <row r="40" spans="1:25" ht="19.5" thickBot="1" x14ac:dyDescent="0.35">
      <c r="A40" s="193" t="s">
        <v>87</v>
      </c>
      <c r="B40" s="111"/>
      <c r="C40" s="111"/>
      <c r="D40" s="111"/>
      <c r="E40" s="111"/>
    </row>
    <row r="41" spans="1:25" ht="16.5" thickTop="1" x14ac:dyDescent="0.25">
      <c r="A41" s="194"/>
      <c r="B41" s="195" t="s">
        <v>88</v>
      </c>
      <c r="C41" s="339" t="s">
        <v>89</v>
      </c>
      <c r="D41" s="340"/>
      <c r="E41" s="196" t="s">
        <v>315</v>
      </c>
    </row>
    <row r="42" spans="1:25" x14ac:dyDescent="0.25">
      <c r="A42" s="201" t="str">
        <f t="shared" ref="A42:A53" si="1">IF(OR(B42&lt;&gt;"",C42&lt;&gt;"",D42&lt;&gt;"",E42&lt;&gt;""),A41+1,"")</f>
        <v/>
      </c>
      <c r="B42" s="202"/>
      <c r="C42" s="347"/>
      <c r="D42" s="348"/>
      <c r="E42" s="203"/>
    </row>
    <row r="43" spans="1:25" x14ac:dyDescent="0.25">
      <c r="A43" s="201" t="str">
        <f t="shared" si="1"/>
        <v/>
      </c>
      <c r="B43" s="202"/>
      <c r="C43" s="349"/>
      <c r="D43" s="350"/>
      <c r="E43" s="203"/>
    </row>
    <row r="44" spans="1:25" x14ac:dyDescent="0.25">
      <c r="A44" s="201" t="str">
        <f t="shared" si="1"/>
        <v/>
      </c>
      <c r="B44" s="202"/>
      <c r="C44" s="296"/>
      <c r="D44" s="297"/>
      <c r="E44" s="203"/>
    </row>
    <row r="45" spans="1:25" x14ac:dyDescent="0.25">
      <c r="A45" s="201" t="e">
        <f t="shared" si="1"/>
        <v>#VALUE!</v>
      </c>
      <c r="B45" s="197" t="s">
        <v>8</v>
      </c>
      <c r="C45" s="343" t="s">
        <v>93</v>
      </c>
      <c r="D45" s="344"/>
      <c r="E45" s="198"/>
    </row>
    <row r="46" spans="1:25" x14ac:dyDescent="0.25">
      <c r="A46" s="201" t="e">
        <f t="shared" si="1"/>
        <v>#VALUE!</v>
      </c>
      <c r="B46" s="199" t="s">
        <v>7</v>
      </c>
      <c r="C46" s="343" t="s">
        <v>94</v>
      </c>
      <c r="D46" s="344"/>
      <c r="E46" s="200"/>
    </row>
    <row r="47" spans="1:25" x14ac:dyDescent="0.25">
      <c r="A47" s="201" t="e">
        <f t="shared" si="1"/>
        <v>#VALUE!</v>
      </c>
      <c r="B47" s="199" t="s">
        <v>9</v>
      </c>
      <c r="C47" s="343" t="s">
        <v>95</v>
      </c>
      <c r="D47" s="344"/>
      <c r="E47" s="200"/>
    </row>
    <row r="48" spans="1:25" x14ac:dyDescent="0.25">
      <c r="A48" s="201" t="e">
        <f t="shared" si="1"/>
        <v>#VALUE!</v>
      </c>
      <c r="B48" s="197" t="s">
        <v>4</v>
      </c>
      <c r="C48" s="345" t="s">
        <v>90</v>
      </c>
      <c r="D48" s="346"/>
      <c r="E48" s="200"/>
    </row>
    <row r="49" spans="1:25" x14ac:dyDescent="0.25">
      <c r="A49" s="201" t="e">
        <f t="shared" si="1"/>
        <v>#VALUE!</v>
      </c>
      <c r="B49" s="197" t="s">
        <v>5</v>
      </c>
      <c r="C49" s="343" t="s">
        <v>91</v>
      </c>
      <c r="D49" s="344"/>
      <c r="E49" s="200"/>
    </row>
    <row r="50" spans="1:25" x14ac:dyDescent="0.25">
      <c r="A50" s="201" t="e">
        <f t="shared" si="1"/>
        <v>#VALUE!</v>
      </c>
      <c r="B50" s="197" t="s">
        <v>6</v>
      </c>
      <c r="C50" s="343" t="s">
        <v>92</v>
      </c>
      <c r="D50" s="344"/>
      <c r="E50" s="200"/>
    </row>
    <row r="51" spans="1:25" x14ac:dyDescent="0.25">
      <c r="A51" s="201" t="e">
        <f t="shared" si="1"/>
        <v>#VALUE!</v>
      </c>
      <c r="B51" s="199" t="s">
        <v>10</v>
      </c>
      <c r="C51" s="343" t="s">
        <v>99</v>
      </c>
      <c r="D51" s="344"/>
      <c r="E51" s="200" t="s">
        <v>316</v>
      </c>
    </row>
    <row r="52" spans="1:25" x14ac:dyDescent="0.25">
      <c r="A52" s="201" t="e">
        <f t="shared" si="1"/>
        <v>#VALUE!</v>
      </c>
      <c r="B52" s="199" t="s">
        <v>11</v>
      </c>
      <c r="C52" s="343" t="s">
        <v>100</v>
      </c>
      <c r="D52" s="344"/>
      <c r="E52" s="200" t="s">
        <v>316</v>
      </c>
    </row>
    <row r="53" spans="1:25" ht="15.75" thickBot="1" x14ac:dyDescent="0.3">
      <c r="A53" s="204" t="e">
        <f t="shared" si="1"/>
        <v>#VALUE!</v>
      </c>
      <c r="B53" s="298" t="s">
        <v>2</v>
      </c>
      <c r="C53" s="341" t="s">
        <v>96</v>
      </c>
      <c r="D53" s="342"/>
      <c r="E53" s="299" t="s">
        <v>101</v>
      </c>
    </row>
    <row r="54" spans="1:25" ht="16.5" thickTop="1" thickBot="1" x14ac:dyDescent="0.3">
      <c r="A54" s="205"/>
      <c r="B54" s="206"/>
      <c r="C54" s="206"/>
      <c r="D54" s="206"/>
      <c r="E54" s="207"/>
    </row>
    <row r="55" spans="1:25" ht="16.5" thickTop="1" x14ac:dyDescent="0.25">
      <c r="A55" s="208" t="s">
        <v>106</v>
      </c>
      <c r="B55" s="209"/>
      <c r="C55" s="210"/>
      <c r="D55" s="209"/>
      <c r="E55" s="211"/>
      <c r="F55" s="32"/>
      <c r="G55" s="32"/>
      <c r="H55" s="32"/>
      <c r="I55" s="32"/>
      <c r="J55" s="32"/>
      <c r="K55" s="32"/>
      <c r="L55" s="32"/>
      <c r="M55" s="32"/>
      <c r="N55" s="32"/>
      <c r="O55" s="32"/>
      <c r="P55" s="32"/>
      <c r="Q55" s="32"/>
      <c r="R55" s="32"/>
      <c r="S55" s="32"/>
      <c r="T55" s="32"/>
      <c r="U55" s="32"/>
      <c r="V55" s="32"/>
      <c r="W55" s="32"/>
      <c r="X55" s="32"/>
      <c r="Y55" s="32"/>
    </row>
    <row r="56" spans="1:25" ht="16.5" thickBot="1" x14ac:dyDescent="0.3">
      <c r="A56" s="212"/>
      <c r="B56" s="213" t="s">
        <v>12</v>
      </c>
      <c r="C56" s="213" t="s">
        <v>104</v>
      </c>
      <c r="D56" s="214" t="s">
        <v>105</v>
      </c>
      <c r="E56" s="215" t="s">
        <v>3</v>
      </c>
      <c r="F56" s="32"/>
      <c r="G56" s="32"/>
      <c r="H56" s="32"/>
      <c r="I56" s="32"/>
      <c r="J56" s="32"/>
      <c r="K56" s="32"/>
      <c r="L56" s="32"/>
      <c r="M56" s="32"/>
      <c r="N56" s="32"/>
      <c r="O56" s="32"/>
      <c r="P56" s="32"/>
      <c r="Q56" s="32"/>
      <c r="R56" s="32"/>
      <c r="S56" s="32"/>
      <c r="T56" s="32"/>
      <c r="U56" s="32"/>
      <c r="V56" s="32"/>
      <c r="W56" s="32"/>
      <c r="X56" s="32"/>
      <c r="Y56" s="32"/>
    </row>
    <row r="57" spans="1:25" ht="15.75" thickTop="1" x14ac:dyDescent="0.25">
      <c r="A57" s="216" t="str">
        <f>IF(OR(B57&lt;&gt;"",C57&lt;&gt;"",D57&lt;&gt;"",E57&lt;&gt;""),A56+1,"")</f>
        <v/>
      </c>
      <c r="B57" s="217"/>
      <c r="C57" s="218"/>
      <c r="D57" s="219"/>
      <c r="E57" s="220"/>
    </row>
    <row r="58" spans="1:25" x14ac:dyDescent="0.25">
      <c r="A58" s="216" t="str">
        <f t="shared" ref="A58:A74" si="2">IF(OR(B58&lt;&gt;"",C58&lt;&gt;"",D58&lt;&gt;"",E58&lt;&gt;""),A57+1,"")</f>
        <v/>
      </c>
      <c r="B58" s="217"/>
      <c r="C58" s="218"/>
      <c r="D58" s="219"/>
      <c r="E58" s="220"/>
    </row>
    <row r="59" spans="1:25" x14ac:dyDescent="0.25">
      <c r="A59" s="216" t="str">
        <f t="shared" si="2"/>
        <v/>
      </c>
      <c r="B59" s="217"/>
      <c r="C59" s="218"/>
      <c r="D59" s="219"/>
      <c r="E59" s="220"/>
    </row>
    <row r="60" spans="1:25" x14ac:dyDescent="0.25">
      <c r="A60" s="216" t="str">
        <f t="shared" si="2"/>
        <v/>
      </c>
      <c r="B60" s="217"/>
      <c r="C60" s="218"/>
      <c r="D60" s="219"/>
      <c r="E60" s="220"/>
    </row>
    <row r="61" spans="1:25" x14ac:dyDescent="0.25">
      <c r="A61" s="216" t="str">
        <f t="shared" si="2"/>
        <v/>
      </c>
      <c r="B61" s="217"/>
      <c r="C61" s="218"/>
      <c r="D61" s="219"/>
      <c r="E61" s="220"/>
    </row>
    <row r="62" spans="1:25" x14ac:dyDescent="0.25">
      <c r="A62" s="216" t="str">
        <f t="shared" si="2"/>
        <v/>
      </c>
      <c r="B62" s="217"/>
      <c r="C62" s="218"/>
      <c r="D62" s="219"/>
      <c r="E62" s="220"/>
    </row>
    <row r="63" spans="1:25" x14ac:dyDescent="0.25">
      <c r="A63" s="216" t="str">
        <f t="shared" si="2"/>
        <v/>
      </c>
      <c r="B63" s="217"/>
      <c r="C63" s="218"/>
      <c r="D63" s="219"/>
      <c r="E63" s="220"/>
    </row>
    <row r="64" spans="1:25" x14ac:dyDescent="0.25">
      <c r="A64" s="216" t="str">
        <f t="shared" si="2"/>
        <v/>
      </c>
      <c r="B64" s="217"/>
      <c r="C64" s="218"/>
      <c r="D64" s="219"/>
      <c r="E64" s="220"/>
    </row>
    <row r="65" spans="1:5" x14ac:dyDescent="0.25">
      <c r="A65" s="216" t="str">
        <f t="shared" si="2"/>
        <v/>
      </c>
      <c r="B65" s="217"/>
      <c r="C65" s="218"/>
      <c r="D65" s="219"/>
      <c r="E65" s="220"/>
    </row>
    <row r="66" spans="1:5" x14ac:dyDescent="0.25">
      <c r="A66" s="216" t="str">
        <f t="shared" si="2"/>
        <v/>
      </c>
      <c r="B66" s="217"/>
      <c r="C66" s="218"/>
      <c r="D66" s="219"/>
      <c r="E66" s="220"/>
    </row>
    <row r="67" spans="1:5" x14ac:dyDescent="0.25">
      <c r="A67" s="216" t="str">
        <f t="shared" si="2"/>
        <v/>
      </c>
      <c r="B67" s="217"/>
      <c r="C67" s="218"/>
      <c r="D67" s="219"/>
      <c r="E67" s="220"/>
    </row>
    <row r="68" spans="1:5" x14ac:dyDescent="0.25">
      <c r="A68" s="216" t="str">
        <f t="shared" si="2"/>
        <v/>
      </c>
      <c r="B68" s="217"/>
      <c r="C68" s="218"/>
      <c r="D68" s="219"/>
      <c r="E68" s="220"/>
    </row>
    <row r="69" spans="1:5" x14ac:dyDescent="0.25">
      <c r="A69" s="216" t="str">
        <f t="shared" si="2"/>
        <v/>
      </c>
      <c r="B69" s="217"/>
      <c r="C69" s="218"/>
      <c r="D69" s="219"/>
      <c r="E69" s="220"/>
    </row>
    <row r="70" spans="1:5" x14ac:dyDescent="0.25">
      <c r="A70" s="216" t="str">
        <f t="shared" si="2"/>
        <v/>
      </c>
      <c r="B70" s="217"/>
      <c r="C70" s="218"/>
      <c r="D70" s="219"/>
      <c r="E70" s="220"/>
    </row>
    <row r="71" spans="1:5" x14ac:dyDescent="0.25">
      <c r="A71" s="216" t="str">
        <f t="shared" si="2"/>
        <v/>
      </c>
      <c r="B71" s="217"/>
      <c r="C71" s="218"/>
      <c r="D71" s="219"/>
      <c r="E71" s="220"/>
    </row>
    <row r="72" spans="1:5" x14ac:dyDescent="0.25">
      <c r="A72" s="216" t="str">
        <f t="shared" si="2"/>
        <v/>
      </c>
      <c r="B72" s="217"/>
      <c r="C72" s="218"/>
      <c r="D72" s="219"/>
      <c r="E72" s="220"/>
    </row>
    <row r="73" spans="1:5" x14ac:dyDescent="0.25">
      <c r="A73" s="216" t="str">
        <f t="shared" si="2"/>
        <v/>
      </c>
      <c r="B73" s="217"/>
      <c r="C73" s="218"/>
      <c r="D73" s="219"/>
      <c r="E73" s="220"/>
    </row>
    <row r="74" spans="1:5" ht="15.75" thickBot="1" x14ac:dyDescent="0.3">
      <c r="A74" s="221" t="str">
        <f t="shared" si="2"/>
        <v/>
      </c>
      <c r="B74" s="222"/>
      <c r="C74" s="222"/>
      <c r="D74" s="223"/>
      <c r="E74" s="224"/>
    </row>
    <row r="75" spans="1:5" ht="15.75" thickTop="1" x14ac:dyDescent="0.25">
      <c r="A75" s="205"/>
      <c r="B75" s="206"/>
      <c r="C75" s="206"/>
      <c r="D75" s="206"/>
      <c r="E75" s="207"/>
    </row>
  </sheetData>
  <mergeCells count="32">
    <mergeCell ref="A3:C3"/>
    <mergeCell ref="A8:C8"/>
    <mergeCell ref="A13:C13"/>
    <mergeCell ref="B14:C14"/>
    <mergeCell ref="B15:C15"/>
    <mergeCell ref="C37:D37"/>
    <mergeCell ref="B4:C4"/>
    <mergeCell ref="B5:C5"/>
    <mergeCell ref="B6:C6"/>
    <mergeCell ref="B9:C9"/>
    <mergeCell ref="B10:C10"/>
    <mergeCell ref="B11:C11"/>
    <mergeCell ref="B16:C16"/>
    <mergeCell ref="B17:C17"/>
    <mergeCell ref="B18:C18"/>
    <mergeCell ref="C33:D33"/>
    <mergeCell ref="C34:D34"/>
    <mergeCell ref="C36:D36"/>
    <mergeCell ref="B19:C19"/>
    <mergeCell ref="C38:D38"/>
    <mergeCell ref="C41:D41"/>
    <mergeCell ref="C53:D53"/>
    <mergeCell ref="C45:D45"/>
    <mergeCell ref="C46:D46"/>
    <mergeCell ref="C47:D47"/>
    <mergeCell ref="C48:D48"/>
    <mergeCell ref="C49:D49"/>
    <mergeCell ref="C50:D50"/>
    <mergeCell ref="C51:D51"/>
    <mergeCell ref="C52:D52"/>
    <mergeCell ref="C42:D42"/>
    <mergeCell ref="C43:D43"/>
  </mergeCells>
  <pageMargins left="0" right="0" top="0.75" bottom="0.75" header="0.3" footer="0.3"/>
  <pageSetup scale="63" fitToHeight="0" orientation="landscape" horizontalDpi="4294967293" verticalDpi="1200" r:id="rId1"/>
  <headerFooter>
    <oddFooter>&amp;L&amp;D &amp;T&amp;C&amp;F &amp;A&amp;R&amp;P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67"/>
  <sheetViews>
    <sheetView showGridLines="0" topLeftCell="A17" workbookViewId="0">
      <selection activeCell="D44" sqref="D43:D44"/>
    </sheetView>
  </sheetViews>
  <sheetFormatPr defaultRowHeight="15" x14ac:dyDescent="0.25"/>
  <cols>
    <col min="1" max="1" width="33.140625" style="32" customWidth="1"/>
    <col min="2" max="2" width="39.7109375" style="38" bestFit="1" customWidth="1"/>
    <col min="3" max="3" width="32" style="38" bestFit="1" customWidth="1"/>
    <col min="4" max="4" width="46.85546875" style="44" bestFit="1" customWidth="1"/>
    <col min="5" max="16384" width="9.140625" style="44"/>
  </cols>
  <sheetData>
    <row r="1" spans="1:7" s="28" customFormat="1" ht="29.25" customHeight="1" thickBot="1" x14ac:dyDescent="0.3">
      <c r="A1" s="225" t="s">
        <v>126</v>
      </c>
      <c r="B1" s="226"/>
      <c r="C1" s="75"/>
      <c r="D1" s="24" t="s">
        <v>327</v>
      </c>
      <c r="E1" s="167"/>
    </row>
    <row r="2" spans="1:7" ht="15" customHeight="1" thickTop="1" x14ac:dyDescent="0.35">
      <c r="A2" s="227"/>
      <c r="B2" s="228"/>
      <c r="C2" s="229"/>
      <c r="D2" s="31"/>
      <c r="G2" s="32"/>
    </row>
    <row r="3" spans="1:7" s="84" customFormat="1" ht="15.75" x14ac:dyDescent="0.25">
      <c r="A3" s="146" t="s">
        <v>14</v>
      </c>
      <c r="B3" s="147"/>
      <c r="C3" s="147"/>
      <c r="D3" s="147"/>
      <c r="G3" s="147"/>
    </row>
    <row r="4" spans="1:7" s="84" customFormat="1" ht="15.75" x14ac:dyDescent="0.25">
      <c r="A4" s="146"/>
      <c r="B4" s="147"/>
      <c r="C4" s="147"/>
      <c r="D4" s="147"/>
      <c r="G4" s="147"/>
    </row>
    <row r="5" spans="1:7" x14ac:dyDescent="0.25">
      <c r="A5" s="32" t="s">
        <v>15</v>
      </c>
      <c r="B5" s="32"/>
      <c r="C5" s="32"/>
      <c r="D5" s="32"/>
    </row>
    <row r="6" spans="1:7" x14ac:dyDescent="0.25">
      <c r="A6" s="152" t="s">
        <v>264</v>
      </c>
      <c r="B6" s="32"/>
      <c r="C6" s="32"/>
      <c r="D6" s="32"/>
    </row>
    <row r="7" spans="1:7" x14ac:dyDescent="0.25">
      <c r="A7" s="152" t="s">
        <v>16</v>
      </c>
      <c r="B7" s="32"/>
      <c r="C7" s="32"/>
      <c r="D7" s="32"/>
    </row>
    <row r="8" spans="1:7" x14ac:dyDescent="0.25">
      <c r="B8" s="32"/>
      <c r="C8" s="32"/>
      <c r="D8" s="32"/>
    </row>
    <row r="9" spans="1:7" x14ac:dyDescent="0.25">
      <c r="A9" s="32" t="s">
        <v>302</v>
      </c>
      <c r="B9" s="32"/>
      <c r="C9" s="32"/>
      <c r="D9" s="32"/>
    </row>
    <row r="10" spans="1:7" x14ac:dyDescent="0.25">
      <c r="A10" s="32" t="s">
        <v>303</v>
      </c>
      <c r="B10" s="32"/>
      <c r="C10" s="32"/>
      <c r="D10" s="32"/>
    </row>
    <row r="11" spans="1:7" x14ac:dyDescent="0.25">
      <c r="A11" s="32" t="s">
        <v>17</v>
      </c>
      <c r="B11" s="32"/>
      <c r="C11" s="32"/>
      <c r="D11" s="32"/>
    </row>
    <row r="12" spans="1:7" x14ac:dyDescent="0.25">
      <c r="B12" s="32"/>
      <c r="C12" s="32"/>
      <c r="D12" s="32"/>
    </row>
    <row r="13" spans="1:7" x14ac:dyDescent="0.25">
      <c r="A13" s="32" t="s">
        <v>261</v>
      </c>
      <c r="B13" s="32"/>
      <c r="C13" s="32"/>
      <c r="D13" s="32"/>
    </row>
    <row r="14" spans="1:7" x14ac:dyDescent="0.25">
      <c r="A14" s="32" t="s">
        <v>304</v>
      </c>
      <c r="B14" s="32"/>
      <c r="C14" s="32"/>
      <c r="D14" s="32"/>
    </row>
    <row r="15" spans="1:7" x14ac:dyDescent="0.25">
      <c r="A15" s="32" t="s">
        <v>305</v>
      </c>
      <c r="B15" s="32"/>
      <c r="C15" s="32"/>
      <c r="D15" s="32"/>
    </row>
    <row r="16" spans="1:7" x14ac:dyDescent="0.25">
      <c r="A16" s="32" t="s">
        <v>18</v>
      </c>
      <c r="B16" s="32"/>
      <c r="C16" s="32"/>
      <c r="D16" s="32"/>
    </row>
    <row r="17" spans="1:4" x14ac:dyDescent="0.25">
      <c r="A17" s="32" t="s">
        <v>262</v>
      </c>
      <c r="B17" s="32"/>
      <c r="C17" s="32"/>
      <c r="D17" s="32"/>
    </row>
    <row r="18" spans="1:4" x14ac:dyDescent="0.25">
      <c r="A18" s="32" t="s">
        <v>306</v>
      </c>
      <c r="B18" s="32"/>
      <c r="C18" s="32"/>
      <c r="D18" s="32"/>
    </row>
    <row r="19" spans="1:4" x14ac:dyDescent="0.25">
      <c r="A19" s="230" t="s">
        <v>263</v>
      </c>
      <c r="B19" s="32"/>
      <c r="C19" s="32"/>
      <c r="D19" s="32"/>
    </row>
    <row r="20" spans="1:4" x14ac:dyDescent="0.25">
      <c r="A20" s="230" t="s">
        <v>19</v>
      </c>
      <c r="B20" s="32"/>
      <c r="C20" s="32"/>
      <c r="D20" s="32"/>
    </row>
    <row r="21" spans="1:4" x14ac:dyDescent="0.25">
      <c r="B21" s="32"/>
      <c r="C21" s="32"/>
      <c r="D21" s="32"/>
    </row>
    <row r="22" spans="1:4" x14ac:dyDescent="0.25">
      <c r="A22" s="231" t="s">
        <v>13</v>
      </c>
      <c r="B22" s="32"/>
      <c r="C22" s="32"/>
      <c r="D22" s="32"/>
    </row>
    <row r="23" spans="1:4" x14ac:dyDescent="0.25">
      <c r="A23" s="32" t="s">
        <v>20</v>
      </c>
      <c r="B23" s="32"/>
      <c r="C23" s="32"/>
      <c r="D23" s="32"/>
    </row>
    <row r="24" spans="1:4" x14ac:dyDescent="0.25">
      <c r="A24" s="32" t="s">
        <v>21</v>
      </c>
      <c r="B24" s="32"/>
      <c r="C24" s="32"/>
      <c r="D24" s="32"/>
    </row>
    <row r="25" spans="1:4" x14ac:dyDescent="0.25">
      <c r="A25" s="32" t="s">
        <v>22</v>
      </c>
      <c r="B25" s="32"/>
      <c r="C25" s="32"/>
      <c r="D25" s="32"/>
    </row>
    <row r="26" spans="1:4" x14ac:dyDescent="0.25">
      <c r="A26" s="32" t="s">
        <v>317</v>
      </c>
      <c r="B26" s="32"/>
      <c r="C26" s="32"/>
      <c r="D26" s="32"/>
    </row>
    <row r="27" spans="1:4" x14ac:dyDescent="0.25">
      <c r="A27" s="32" t="s">
        <v>318</v>
      </c>
      <c r="B27" s="32"/>
      <c r="C27" s="32"/>
      <c r="D27" s="32"/>
    </row>
    <row r="28" spans="1:4" x14ac:dyDescent="0.25">
      <c r="A28" s="32" t="s">
        <v>23</v>
      </c>
      <c r="B28" s="32"/>
      <c r="C28" s="32"/>
      <c r="D28" s="32"/>
    </row>
    <row r="29" spans="1:4" x14ac:dyDescent="0.25">
      <c r="A29" s="32" t="s">
        <v>24</v>
      </c>
      <c r="B29" s="32"/>
      <c r="C29" s="32"/>
      <c r="D29" s="32"/>
    </row>
    <row r="30" spans="1:4" x14ac:dyDescent="0.25">
      <c r="B30" s="32"/>
      <c r="C30" s="32"/>
      <c r="D30" s="32"/>
    </row>
    <row r="31" spans="1:4" s="91" customFormat="1" ht="13.5" thickBot="1" x14ac:dyDescent="0.25">
      <c r="A31" s="89" t="s">
        <v>25</v>
      </c>
      <c r="B31" s="90"/>
      <c r="C31" s="90"/>
      <c r="D31" s="90"/>
    </row>
    <row r="32" spans="1:4" s="233" customFormat="1" ht="14.25" thickTop="1" thickBot="1" x14ac:dyDescent="0.3">
      <c r="A32" s="182" t="s">
        <v>26</v>
      </c>
      <c r="B32" s="183" t="s">
        <v>27</v>
      </c>
      <c r="C32" s="183" t="s">
        <v>28</v>
      </c>
      <c r="D32" s="232"/>
    </row>
    <row r="33" spans="1:4" s="91" customFormat="1" ht="13.5" thickTop="1" x14ac:dyDescent="0.2">
      <c r="A33" s="97" t="s">
        <v>81</v>
      </c>
      <c r="B33" s="98" t="s">
        <v>29</v>
      </c>
      <c r="C33" s="234"/>
      <c r="D33" s="90"/>
    </row>
    <row r="34" spans="1:4" s="91" customFormat="1" ht="12.75" x14ac:dyDescent="0.2">
      <c r="A34" s="101" t="s">
        <v>30</v>
      </c>
      <c r="B34" s="102" t="s">
        <v>31</v>
      </c>
      <c r="C34" s="235" t="s">
        <v>32</v>
      </c>
      <c r="D34" s="90"/>
    </row>
    <row r="35" spans="1:4" s="91" customFormat="1" ht="12.75" x14ac:dyDescent="0.2">
      <c r="A35" s="236" t="s">
        <v>33</v>
      </c>
      <c r="B35" s="105" t="s">
        <v>34</v>
      </c>
      <c r="C35" s="237"/>
      <c r="D35" s="90"/>
    </row>
    <row r="36" spans="1:4" s="91" customFormat="1" ht="12.75" x14ac:dyDescent="0.2">
      <c r="A36" s="236" t="s">
        <v>35</v>
      </c>
      <c r="B36" s="105" t="s">
        <v>82</v>
      </c>
      <c r="C36" s="237"/>
      <c r="D36" s="90"/>
    </row>
    <row r="37" spans="1:4" s="91" customFormat="1" ht="13.5" thickBot="1" x14ac:dyDescent="0.25">
      <c r="A37" s="107" t="s">
        <v>80</v>
      </c>
      <c r="B37" s="108" t="s">
        <v>36</v>
      </c>
      <c r="C37" s="238"/>
      <c r="D37" s="90"/>
    </row>
    <row r="38" spans="1:4" ht="16.5" thickTop="1" thickBot="1" x14ac:dyDescent="0.3">
      <c r="B38" s="32"/>
      <c r="C38" s="32"/>
      <c r="D38" s="32"/>
    </row>
    <row r="39" spans="1:4" ht="16.5" thickTop="1" thickBot="1" x14ac:dyDescent="0.3">
      <c r="A39" s="239" t="s">
        <v>128</v>
      </c>
      <c r="B39" s="114"/>
      <c r="C39" s="114"/>
      <c r="D39" s="240"/>
    </row>
    <row r="40" spans="1:4" s="244" customFormat="1" ht="33" thickTop="1" thickBot="1" x14ac:dyDescent="0.3">
      <c r="A40" s="241" t="s">
        <v>26</v>
      </c>
      <c r="B40" s="242" t="s">
        <v>322</v>
      </c>
      <c r="C40" s="242" t="s">
        <v>273</v>
      </c>
      <c r="D40" s="243" t="s">
        <v>274</v>
      </c>
    </row>
    <row r="41" spans="1:4" ht="15.75" thickTop="1" x14ac:dyDescent="0.25">
      <c r="A41" s="245"/>
      <c r="B41" s="246"/>
      <c r="C41" s="246"/>
      <c r="D41" s="247"/>
    </row>
    <row r="42" spans="1:4" x14ac:dyDescent="0.25">
      <c r="A42" s="248"/>
      <c r="B42" s="249"/>
      <c r="C42" s="249"/>
      <c r="D42" s="250"/>
    </row>
    <row r="43" spans="1:4" x14ac:dyDescent="0.25">
      <c r="A43" s="248"/>
      <c r="B43" s="249"/>
      <c r="C43" s="249"/>
      <c r="D43" s="250"/>
    </row>
    <row r="44" spans="1:4" x14ac:dyDescent="0.25">
      <c r="A44" s="248"/>
      <c r="B44" s="249"/>
      <c r="C44" s="249"/>
      <c r="D44" s="250"/>
    </row>
    <row r="45" spans="1:4" x14ac:dyDescent="0.25">
      <c r="A45" s="248"/>
      <c r="B45" s="249"/>
      <c r="C45" s="249"/>
      <c r="D45" s="250"/>
    </row>
    <row r="46" spans="1:4" x14ac:dyDescent="0.25">
      <c r="A46" s="248"/>
      <c r="B46" s="249"/>
      <c r="C46" s="249"/>
      <c r="D46" s="250"/>
    </row>
    <row r="47" spans="1:4" x14ac:dyDescent="0.25">
      <c r="A47" s="248"/>
      <c r="B47" s="249"/>
      <c r="C47" s="249"/>
      <c r="D47" s="250"/>
    </row>
    <row r="48" spans="1:4" x14ac:dyDescent="0.25">
      <c r="A48" s="248"/>
      <c r="B48" s="249"/>
      <c r="C48" s="249"/>
      <c r="D48" s="250"/>
    </row>
    <row r="49" spans="1:4" x14ac:dyDescent="0.25">
      <c r="A49" s="248"/>
      <c r="B49" s="249"/>
      <c r="C49" s="249"/>
      <c r="D49" s="250"/>
    </row>
    <row r="50" spans="1:4" x14ac:dyDescent="0.25">
      <c r="A50" s="248"/>
      <c r="B50" s="249"/>
      <c r="C50" s="249"/>
      <c r="D50" s="250"/>
    </row>
    <row r="51" spans="1:4" x14ac:dyDescent="0.25">
      <c r="A51" s="248"/>
      <c r="B51" s="249"/>
      <c r="C51" s="249"/>
      <c r="D51" s="250"/>
    </row>
    <row r="52" spans="1:4" x14ac:dyDescent="0.25">
      <c r="A52" s="248"/>
      <c r="B52" s="249"/>
      <c r="C52" s="249"/>
      <c r="D52" s="250"/>
    </row>
    <row r="53" spans="1:4" x14ac:dyDescent="0.25">
      <c r="A53" s="248"/>
      <c r="B53" s="249"/>
      <c r="C53" s="249"/>
      <c r="D53" s="250"/>
    </row>
    <row r="54" spans="1:4" x14ac:dyDescent="0.25">
      <c r="A54" s="248"/>
      <c r="B54" s="249"/>
      <c r="C54" s="249"/>
      <c r="D54" s="250"/>
    </row>
    <row r="55" spans="1:4" x14ac:dyDescent="0.25">
      <c r="A55" s="248"/>
      <c r="B55" s="249"/>
      <c r="C55" s="249"/>
      <c r="D55" s="250"/>
    </row>
    <row r="56" spans="1:4" x14ac:dyDescent="0.25">
      <c r="A56" s="248"/>
      <c r="B56" s="249"/>
      <c r="C56" s="249"/>
      <c r="D56" s="250"/>
    </row>
    <row r="57" spans="1:4" x14ac:dyDescent="0.25">
      <c r="A57" s="248"/>
      <c r="B57" s="249"/>
      <c r="C57" s="249"/>
      <c r="D57" s="250"/>
    </row>
    <row r="58" spans="1:4" x14ac:dyDescent="0.25">
      <c r="A58" s="248"/>
      <c r="B58" s="249"/>
      <c r="C58" s="249"/>
      <c r="D58" s="250"/>
    </row>
    <row r="59" spans="1:4" x14ac:dyDescent="0.25">
      <c r="A59" s="248"/>
      <c r="B59" s="249"/>
      <c r="C59" s="249"/>
      <c r="D59" s="250"/>
    </row>
    <row r="60" spans="1:4" x14ac:dyDescent="0.25">
      <c r="A60" s="248"/>
      <c r="B60" s="249"/>
      <c r="C60" s="249"/>
      <c r="D60" s="250"/>
    </row>
    <row r="61" spans="1:4" x14ac:dyDescent="0.25">
      <c r="A61" s="248"/>
      <c r="B61" s="249"/>
      <c r="C61" s="249"/>
      <c r="D61" s="250"/>
    </row>
    <row r="62" spans="1:4" x14ac:dyDescent="0.25">
      <c r="A62" s="248"/>
      <c r="B62" s="249"/>
      <c r="C62" s="249"/>
      <c r="D62" s="250"/>
    </row>
    <row r="63" spans="1:4" x14ac:dyDescent="0.25">
      <c r="A63" s="248"/>
      <c r="B63" s="249"/>
      <c r="C63" s="249"/>
      <c r="D63" s="250"/>
    </row>
    <row r="64" spans="1:4" x14ac:dyDescent="0.25">
      <c r="A64" s="248"/>
      <c r="B64" s="249"/>
      <c r="C64" s="249"/>
      <c r="D64" s="250"/>
    </row>
    <row r="65" spans="1:4" x14ac:dyDescent="0.25">
      <c r="A65" s="248"/>
      <c r="B65" s="249"/>
      <c r="C65" s="249"/>
      <c r="D65" s="250"/>
    </row>
    <row r="66" spans="1:4" ht="15.75" thickBot="1" x14ac:dyDescent="0.3">
      <c r="A66" s="251"/>
      <c r="B66" s="252"/>
      <c r="C66" s="252"/>
      <c r="D66" s="253"/>
    </row>
    <row r="67" spans="1:4" ht="15.75" thickTop="1" x14ac:dyDescent="0.25"/>
  </sheetData>
  <pageMargins left="0" right="0" top="0.5" bottom="0.5" header="0.3" footer="0.3"/>
  <pageSetup scale="87" fitToHeight="0" orientation="landscape" horizontalDpi="4294967293" verticalDpi="1200" r:id="rId1"/>
  <headerFooter>
    <oddFooter>&amp;L&amp;D &amp;T&amp;C&amp;F &amp;A&amp;R&amp;P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Y42"/>
  <sheetViews>
    <sheetView showGridLines="0" workbookViewId="0"/>
  </sheetViews>
  <sheetFormatPr defaultRowHeight="15" x14ac:dyDescent="0.25"/>
  <cols>
    <col min="1" max="1" width="26.140625" style="38" customWidth="1"/>
    <col min="2" max="2" width="22.85546875" style="38" customWidth="1"/>
    <col min="3" max="3" width="30.42578125" style="38" customWidth="1"/>
    <col min="4" max="4" width="46" style="38" customWidth="1"/>
    <col min="5" max="5" width="15" style="38" bestFit="1" customWidth="1"/>
    <col min="6" max="25" width="9.140625" style="38"/>
    <col min="26" max="16384" width="9.140625" style="44"/>
  </cols>
  <sheetData>
    <row r="1" spans="1:25" s="28" customFormat="1" ht="32.25" customHeight="1" thickBot="1" x14ac:dyDescent="0.3">
      <c r="A1" s="225" t="s">
        <v>103</v>
      </c>
      <c r="B1" s="254"/>
      <c r="C1" s="255"/>
      <c r="D1" s="256"/>
      <c r="E1" s="257" t="s">
        <v>326</v>
      </c>
      <c r="F1" s="167"/>
    </row>
    <row r="2" spans="1:25" ht="21.75" thickTop="1" x14ac:dyDescent="0.35">
      <c r="A2" s="227"/>
      <c r="B2" s="229"/>
      <c r="C2" s="32"/>
      <c r="D2" s="258"/>
      <c r="E2" s="227"/>
    </row>
    <row r="3" spans="1:25" s="84" customFormat="1" ht="15.75" x14ac:dyDescent="0.25">
      <c r="A3" s="146" t="s">
        <v>63</v>
      </c>
      <c r="B3" s="147"/>
      <c r="C3" s="147"/>
      <c r="D3" s="147"/>
      <c r="E3" s="259"/>
      <c r="F3" s="181"/>
      <c r="G3" s="181"/>
      <c r="H3" s="181"/>
      <c r="I3" s="181"/>
      <c r="J3" s="181"/>
      <c r="K3" s="181"/>
      <c r="L3" s="181"/>
      <c r="M3" s="181"/>
      <c r="N3" s="181"/>
      <c r="O3" s="181"/>
      <c r="P3" s="181"/>
      <c r="Q3" s="181"/>
      <c r="R3" s="181"/>
      <c r="S3" s="181"/>
      <c r="T3" s="181"/>
      <c r="U3" s="181"/>
      <c r="V3" s="181"/>
      <c r="W3" s="181"/>
      <c r="X3" s="181"/>
      <c r="Y3" s="181"/>
    </row>
    <row r="4" spans="1:25" s="84" customFormat="1" x14ac:dyDescent="0.25">
      <c r="A4" s="259"/>
      <c r="B4" s="147"/>
      <c r="C4" s="147"/>
      <c r="D4" s="147"/>
      <c r="E4" s="259"/>
      <c r="F4" s="181"/>
      <c r="G4" s="181"/>
      <c r="H4" s="181"/>
      <c r="I4" s="181"/>
      <c r="J4" s="181"/>
      <c r="K4" s="181"/>
      <c r="L4" s="181"/>
      <c r="M4" s="181"/>
      <c r="N4" s="181"/>
      <c r="O4" s="181"/>
      <c r="P4" s="181"/>
      <c r="Q4" s="181"/>
      <c r="R4" s="181"/>
      <c r="S4" s="181"/>
      <c r="T4" s="181"/>
      <c r="U4" s="181"/>
      <c r="V4" s="181"/>
      <c r="W4" s="181"/>
      <c r="X4" s="181"/>
      <c r="Y4" s="181"/>
    </row>
    <row r="5" spans="1:25" x14ac:dyDescent="0.25">
      <c r="A5" s="355" t="s">
        <v>62</v>
      </c>
      <c r="B5" s="355"/>
      <c r="C5" s="355"/>
      <c r="D5" s="355"/>
      <c r="E5" s="355"/>
    </row>
    <row r="6" spans="1:25" x14ac:dyDescent="0.25">
      <c r="A6" s="358" t="s">
        <v>64</v>
      </c>
      <c r="B6" s="355"/>
      <c r="C6" s="355"/>
      <c r="D6" s="355"/>
      <c r="E6" s="355"/>
    </row>
    <row r="7" spans="1:25" x14ac:dyDescent="0.25">
      <c r="A7" s="358" t="s">
        <v>65</v>
      </c>
      <c r="B7" s="355"/>
      <c r="C7" s="355"/>
      <c r="D7" s="355"/>
      <c r="E7" s="355"/>
    </row>
    <row r="8" spans="1:25" x14ac:dyDescent="0.25">
      <c r="A8" s="355" t="s">
        <v>66</v>
      </c>
      <c r="B8" s="355"/>
      <c r="C8" s="355"/>
      <c r="D8" s="355"/>
      <c r="E8" s="355"/>
    </row>
    <row r="9" spans="1:25" x14ac:dyDescent="0.25">
      <c r="A9" s="355" t="s">
        <v>319</v>
      </c>
      <c r="B9" s="355"/>
      <c r="C9" s="355"/>
      <c r="D9" s="355"/>
      <c r="E9" s="355"/>
    </row>
    <row r="10" spans="1:25" ht="21" x14ac:dyDescent="0.35">
      <c r="A10" s="227"/>
      <c r="B10" s="229"/>
      <c r="C10" s="32"/>
      <c r="D10" s="258"/>
      <c r="E10" s="227"/>
    </row>
    <row r="11" spans="1:25" ht="15.75" thickBot="1" x14ac:dyDescent="0.3">
      <c r="A11" s="89" t="s">
        <v>25</v>
      </c>
      <c r="B11" s="90"/>
      <c r="C11" s="90"/>
      <c r="D11" s="90"/>
      <c r="E11" s="89"/>
    </row>
    <row r="12" spans="1:25" ht="17.25" thickTop="1" thickBot="1" x14ac:dyDescent="0.3">
      <c r="A12" s="260" t="s">
        <v>38</v>
      </c>
      <c r="B12" s="261" t="s">
        <v>39</v>
      </c>
      <c r="C12" s="262" t="s">
        <v>40</v>
      </c>
      <c r="D12" s="263" t="s">
        <v>41</v>
      </c>
      <c r="E12" s="264" t="s">
        <v>102</v>
      </c>
    </row>
    <row r="13" spans="1:25" ht="15.75" thickTop="1" x14ac:dyDescent="0.25">
      <c r="A13" s="97" t="s">
        <v>42</v>
      </c>
      <c r="B13" s="265" t="s">
        <v>43</v>
      </c>
      <c r="C13" s="265" t="s">
        <v>44</v>
      </c>
      <c r="D13" s="266" t="s">
        <v>45</v>
      </c>
      <c r="E13" s="267"/>
    </row>
    <row r="14" spans="1:25" x14ac:dyDescent="0.25">
      <c r="A14" s="268" t="s">
        <v>46</v>
      </c>
      <c r="B14" s="269" t="s">
        <v>47</v>
      </c>
      <c r="C14" s="270" t="s">
        <v>48</v>
      </c>
      <c r="D14" s="271" t="s">
        <v>49</v>
      </c>
      <c r="E14" s="272"/>
    </row>
    <row r="15" spans="1:25" x14ac:dyDescent="0.25">
      <c r="A15" s="101" t="s">
        <v>50</v>
      </c>
      <c r="B15" s="273" t="s">
        <v>51</v>
      </c>
      <c r="C15" s="273" t="s">
        <v>52</v>
      </c>
      <c r="D15" s="271" t="s">
        <v>53</v>
      </c>
      <c r="E15" s="274"/>
    </row>
    <row r="16" spans="1:25" x14ac:dyDescent="0.25">
      <c r="A16" s="101" t="s">
        <v>34</v>
      </c>
      <c r="B16" s="273" t="s">
        <v>54</v>
      </c>
      <c r="C16" s="273" t="s">
        <v>55</v>
      </c>
      <c r="D16" s="271" t="s">
        <v>56</v>
      </c>
      <c r="E16" s="274"/>
    </row>
    <row r="17" spans="1:9" x14ac:dyDescent="0.25">
      <c r="A17" s="101" t="s">
        <v>83</v>
      </c>
      <c r="B17" s="273" t="s">
        <v>84</v>
      </c>
      <c r="C17" s="273" t="s">
        <v>85</v>
      </c>
      <c r="D17" s="271" t="s">
        <v>86</v>
      </c>
      <c r="E17" s="274"/>
    </row>
    <row r="18" spans="1:9" ht="15.75" thickBot="1" x14ac:dyDescent="0.3">
      <c r="A18" s="275" t="s">
        <v>36</v>
      </c>
      <c r="B18" s="276" t="s">
        <v>57</v>
      </c>
      <c r="C18" s="276" t="s">
        <v>58</v>
      </c>
      <c r="D18" s="277" t="s">
        <v>59</v>
      </c>
      <c r="E18" s="278"/>
    </row>
    <row r="19" spans="1:9" ht="16.5" thickTop="1" thickBot="1" x14ac:dyDescent="0.3">
      <c r="A19" s="111"/>
      <c r="B19" s="111"/>
      <c r="C19" s="111"/>
      <c r="D19" s="86"/>
      <c r="E19" s="111"/>
    </row>
    <row r="20" spans="1:9" ht="16.5" thickTop="1" thickBot="1" x14ac:dyDescent="0.3">
      <c r="A20" s="113" t="s">
        <v>128</v>
      </c>
      <c r="B20" s="279"/>
      <c r="C20" s="279"/>
      <c r="D20" s="279"/>
      <c r="E20" s="280"/>
    </row>
    <row r="21" spans="1:9" ht="48.75" thickTop="1" thickBot="1" x14ac:dyDescent="0.3">
      <c r="A21" s="281" t="s">
        <v>191</v>
      </c>
      <c r="B21" s="282" t="s">
        <v>39</v>
      </c>
      <c r="C21" s="283" t="s">
        <v>276</v>
      </c>
      <c r="D21" s="284" t="s">
        <v>277</v>
      </c>
      <c r="E21" s="285" t="s">
        <v>275</v>
      </c>
    </row>
    <row r="22" spans="1:9" ht="15.75" thickTop="1" x14ac:dyDescent="0.25">
      <c r="A22" s="245"/>
      <c r="B22" s="246"/>
      <c r="C22" s="246"/>
      <c r="D22" s="247"/>
      <c r="E22" s="286"/>
    </row>
    <row r="23" spans="1:9" x14ac:dyDescent="0.25">
      <c r="A23" s="248"/>
      <c r="B23" s="249"/>
      <c r="C23" s="249"/>
      <c r="D23" s="250"/>
      <c r="E23" s="287"/>
      <c r="I23" s="288"/>
    </row>
    <row r="24" spans="1:9" x14ac:dyDescent="0.25">
      <c r="A24" s="248"/>
      <c r="B24" s="249"/>
      <c r="C24" s="249"/>
      <c r="D24" s="250"/>
      <c r="E24" s="287"/>
    </row>
    <row r="25" spans="1:9" x14ac:dyDescent="0.25">
      <c r="A25" s="248"/>
      <c r="B25" s="249"/>
      <c r="C25" s="249"/>
      <c r="D25" s="250"/>
      <c r="E25" s="287"/>
    </row>
    <row r="26" spans="1:9" x14ac:dyDescent="0.25">
      <c r="A26" s="248"/>
      <c r="B26" s="249"/>
      <c r="C26" s="249"/>
      <c r="D26" s="250"/>
      <c r="E26" s="287"/>
    </row>
    <row r="27" spans="1:9" x14ac:dyDescent="0.25">
      <c r="A27" s="248"/>
      <c r="B27" s="249"/>
      <c r="C27" s="249"/>
      <c r="D27" s="250"/>
      <c r="E27" s="287"/>
    </row>
    <row r="28" spans="1:9" x14ac:dyDescent="0.25">
      <c r="A28" s="248"/>
      <c r="B28" s="249"/>
      <c r="C28" s="249"/>
      <c r="D28" s="250"/>
      <c r="E28" s="287"/>
    </row>
    <row r="29" spans="1:9" x14ac:dyDescent="0.25">
      <c r="A29" s="248"/>
      <c r="B29" s="249"/>
      <c r="C29" s="249"/>
      <c r="D29" s="250"/>
      <c r="E29" s="287"/>
    </row>
    <row r="30" spans="1:9" x14ac:dyDescent="0.25">
      <c r="A30" s="248"/>
      <c r="B30" s="249"/>
      <c r="C30" s="249"/>
      <c r="D30" s="250"/>
      <c r="E30" s="287"/>
    </row>
    <row r="31" spans="1:9" x14ac:dyDescent="0.25">
      <c r="A31" s="248"/>
      <c r="B31" s="249"/>
      <c r="C31" s="249"/>
      <c r="D31" s="250"/>
      <c r="E31" s="287"/>
    </row>
    <row r="32" spans="1:9" x14ac:dyDescent="0.25">
      <c r="A32" s="248"/>
      <c r="B32" s="249"/>
      <c r="C32" s="249"/>
      <c r="D32" s="250"/>
      <c r="E32" s="287"/>
    </row>
    <row r="33" spans="1:5" x14ac:dyDescent="0.25">
      <c r="A33" s="248"/>
      <c r="B33" s="249"/>
      <c r="C33" s="249"/>
      <c r="D33" s="250"/>
      <c r="E33" s="287"/>
    </row>
    <row r="34" spans="1:5" x14ac:dyDescent="0.25">
      <c r="A34" s="248"/>
      <c r="B34" s="249"/>
      <c r="C34" s="249"/>
      <c r="D34" s="250"/>
      <c r="E34" s="287"/>
    </row>
    <row r="35" spans="1:5" x14ac:dyDescent="0.25">
      <c r="A35" s="248"/>
      <c r="B35" s="249"/>
      <c r="C35" s="249"/>
      <c r="D35" s="250"/>
      <c r="E35" s="287"/>
    </row>
    <row r="36" spans="1:5" x14ac:dyDescent="0.25">
      <c r="A36" s="248"/>
      <c r="B36" s="249"/>
      <c r="C36" s="249"/>
      <c r="D36" s="250"/>
      <c r="E36" s="287"/>
    </row>
    <row r="37" spans="1:5" x14ac:dyDescent="0.25">
      <c r="A37" s="248"/>
      <c r="B37" s="249"/>
      <c r="C37" s="249"/>
      <c r="D37" s="250"/>
      <c r="E37" s="287"/>
    </row>
    <row r="38" spans="1:5" x14ac:dyDescent="0.25">
      <c r="A38" s="248"/>
      <c r="B38" s="249"/>
      <c r="C38" s="249"/>
      <c r="D38" s="250"/>
      <c r="E38" s="287"/>
    </row>
    <row r="39" spans="1:5" x14ac:dyDescent="0.25">
      <c r="A39" s="248"/>
      <c r="B39" s="249"/>
      <c r="C39" s="249"/>
      <c r="D39" s="250"/>
      <c r="E39" s="287"/>
    </row>
    <row r="40" spans="1:5" x14ac:dyDescent="0.25">
      <c r="A40" s="248"/>
      <c r="B40" s="249"/>
      <c r="C40" s="249"/>
      <c r="D40" s="250"/>
      <c r="E40" s="287"/>
    </row>
    <row r="41" spans="1:5" ht="15.75" thickBot="1" x14ac:dyDescent="0.3">
      <c r="A41" s="251"/>
      <c r="B41" s="252"/>
      <c r="C41" s="252"/>
      <c r="D41" s="253"/>
      <c r="E41" s="289"/>
    </row>
    <row r="42" spans="1:5" ht="15.75" thickTop="1" x14ac:dyDescent="0.25"/>
  </sheetData>
  <mergeCells count="5">
    <mergeCell ref="A9:E9"/>
    <mergeCell ref="A5:E5"/>
    <mergeCell ref="A6:E6"/>
    <mergeCell ref="A7:E7"/>
    <mergeCell ref="A8:E8"/>
  </mergeCells>
  <pageMargins left="0" right="0" top="0.5" bottom="0.5" header="0.3" footer="0.3"/>
  <pageSetup scale="85" fitToHeight="0" orientation="portrait" horizontalDpi="1200" verticalDpi="1200" r:id="rId1"/>
  <headerFooter>
    <oddFooter>&amp;L&amp;D &amp;T&amp;C&amp;F &amp;A &amp;R&amp;P of &amp;N</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Leepfrog Read Me</vt:lpstr>
      <vt:lpstr>Questions</vt:lpstr>
      <vt:lpstr>CAT Instructions</vt:lpstr>
      <vt:lpstr>Catalog Page Workflow</vt:lpstr>
      <vt:lpstr>CIM Instructions</vt:lpstr>
      <vt:lpstr>CIM xxxxx Workflow Spec</vt:lpstr>
      <vt:lpstr>CIM xxxxx Workflow Feedback</vt:lpstr>
      <vt:lpstr>Roles</vt:lpstr>
      <vt:lpstr>User Accounts</vt:lpstr>
      <vt:lpstr>'CIM xxxxx Workflow Feedback'!Print_Area</vt:lpstr>
      <vt:lpstr>'Catalog Page Workflow'!Print_Titles</vt:lpstr>
      <vt:lpstr>'CIM xxxxx Workflow Feedback'!Print_Titles</vt:lpstr>
      <vt:lpstr>Roles!Print_Titles</vt:lpstr>
      <vt:lpstr>'User Accounts'!Print_Titles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Common Courseleaf Data</dc:title>
  <dc:creator>David G. Scudiero</dc:creator>
  <cp:keywords>courseleaf, workflow, users, roles</cp:keywords>
  <cp:lastModifiedBy>David G. Scudiero</cp:lastModifiedBy>
  <cp:lastPrinted>2015-09-11T21:18:27Z</cp:lastPrinted>
  <dcterms:created xsi:type="dcterms:W3CDTF">2015-09-10T13:41:39Z</dcterms:created>
  <dcterms:modified xsi:type="dcterms:W3CDTF">2016-07-26T13:30:30Z</dcterms:modified>
  <cp:contentStatus>2.1.1</cp:contentStatus>
</cp:coreProperties>
</file>