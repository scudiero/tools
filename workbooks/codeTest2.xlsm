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3940" windowHeight="12105"/>
  </bookViews>
  <sheets>
    <sheet name="ProjectSummary" sheetId="4" r:id="rId1"/>
    <sheet name="Sheet1" sheetId="1" r:id="rId2"/>
    <sheet name="Sheet2" sheetId="2" r:id="rId3"/>
    <sheet name="TestingDetail" sheetId="3" r:id="rId4"/>
    <sheet name="TimeTracking" sheetId="5" r:id="rId5"/>
    <sheet name="LookupValues" sheetId="6" r:id="rId6"/>
  </sheets>
  <functionGroups builtInGroupCount="18"/>
  <externalReferences>
    <externalReference r:id="rId7"/>
    <externalReference r:id="rId8"/>
  </externalReferences>
  <definedNames>
    <definedName name="Attempted" localSheetId="5">OFFSET('[1]Time Tracking'!$H$6,0,0,COUNT('[1]Time Tracking'!$H:$H))</definedName>
    <definedName name="Attempted">OFFSET(TimeTracking!$I$6,0,0,COUNT(TimeTracking!$I:$I))</definedName>
    <definedName name="CAT">ProjectSummary!#REF!</definedName>
    <definedName name="CIM">ProjectSummary!#REF!</definedName>
    <definedName name="DateRange" localSheetId="5">OFFSET('[1]Time Tracking'!$C$6,0,0,COUNT('[1]Time Tracking'!$C:$C))</definedName>
    <definedName name="DateRange">OFFSET(TimeTracking!$C$6,0,0,COUNT(TimeTracking!$C:$C))</definedName>
    <definedName name="Defined" localSheetId="5">OFFSET('[1]Time Tracking'!$I$6,0,0,COUNT('[1]Time Tracking'!$I:$I))</definedName>
    <definedName name="Defined">OFFSET(TimeTracking!$J$6,0,0,COUNT(TimeTracking!$J:$J))</definedName>
    <definedName name="Failed" localSheetId="5">OFFSET('[1]Time Tracking'!$F$6,0,0,COUNT('[1]Time Tracking'!$F:$F))</definedName>
    <definedName name="Failed">OFFSET(TimeTracking!$F$6,0,0,COUNT(TimeTracking!$F:$F))</definedName>
    <definedName name="Other">OFFSET(TimeTracking!$H$6,0,0,COUNT(TimeTracking!$H:$H))</definedName>
    <definedName name="Passed" localSheetId="5">OFFSET('[1]Time Tracking'!$E$6,0,0,COUNT('[1]Time Tracking'!$E:$E))</definedName>
    <definedName name="Passed">OFFSET(TimeTracking!$E$6,0,0,COUNT(TimeTracking!$E:$E))</definedName>
    <definedName name="ResourceUsed" localSheetId="5">OFFSET('[1]Time Tracking'!$D$6,0,0,COUNT('[1]Time Tracking'!$D:$D))</definedName>
    <definedName name="ResourceUsed">OFFSET(TimeTracking!$D$6,0,0,COUNT(TimeTracking!$D:$D))</definedName>
    <definedName name="ValidCATdevs">LookupValues!$D$39:$D$44</definedName>
    <definedName name="ValidCIMdevs">LookupValues!$B$39:$B$44</definedName>
    <definedName name="ValidCimFrontEndDevs">LookupValues!$B$47:$B$48</definedName>
    <definedName name="ValidCLSSdevs">LookupValues!$F$39:$F$41</definedName>
    <definedName name="ValidCSMs">LookupValues!$B$28:$B$36</definedName>
    <definedName name="ValidEnvs">LookupValues!$B$14:$B$16</definedName>
    <definedName name="ValidInstanceNames">LookupValues!#REF!</definedName>
    <definedName name="ValidPhases">LookupValues!$B$51:$B$54</definedName>
    <definedName name="ValidProjectTypes">LookupValues!$B$19:$B$21</definedName>
    <definedName name="ValidStatus">LookupValues!$B$3:$B$11</definedName>
    <definedName name="ValidTesters">LookupValues!$B$24:$B$25</definedName>
    <definedName name="Waiting" localSheetId="5">OFFSET('[1]Time Tracking'!$G$6,0,0,COUNT('[1]Time Tracking'!$G:$G))</definedName>
    <definedName name="Waiting">OFFSET(TimeTracking!$G$6,0,0,COUNT(TimeTracking!$G:$G))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4" l="1"/>
  <c r="H38" i="6" l="1"/>
  <c r="B1" i="5"/>
  <c r="D1" i="5"/>
  <c r="I5" i="5"/>
  <c r="K5" i="5" s="1"/>
  <c r="K6" i="5"/>
  <c r="B1" i="4"/>
  <c r="A1" i="3"/>
  <c r="C31" i="4"/>
  <c r="C33" i="4"/>
  <c r="C39" i="4"/>
  <c r="C37" i="4"/>
  <c r="C29" i="4"/>
  <c r="C32" i="4"/>
  <c r="C34" i="4"/>
  <c r="C35" i="4"/>
  <c r="C38" i="4"/>
  <c r="C28" i="4"/>
  <c r="C36" i="4"/>
  <c r="C30" i="4" l="1"/>
  <c r="D30" i="4" s="1"/>
  <c r="D31" i="4"/>
  <c r="D29" i="4"/>
  <c r="D38" i="4"/>
  <c r="D35" i="4"/>
  <c r="D32" i="4"/>
</calcChain>
</file>

<file path=xl/sharedStrings.xml><?xml version="1.0" encoding="utf-8"?>
<sst xmlns="http://schemas.openxmlformats.org/spreadsheetml/2006/main" count="134" uniqueCount="110">
  <si>
    <t>CIM - Courseadmin</t>
  </si>
  <si>
    <t>Description</t>
  </si>
  <si>
    <t>Overall Status</t>
  </si>
  <si>
    <t>Test Status</t>
  </si>
  <si>
    <t>Date</t>
  </si>
  <si>
    <t>Phase</t>
  </si>
  <si>
    <t>Notes</t>
  </si>
  <si>
    <t>Test Case</t>
  </si>
  <si>
    <t>How to Test / Pass Criteria</t>
  </si>
  <si>
    <t>Category</t>
  </si>
  <si>
    <t>Main</t>
  </si>
  <si>
    <t>Web Design</t>
  </si>
  <si>
    <t>School color, logo, etc. should appear on main screen and on edit, new, and deactivate forms. Icon should appear on tab in browser.</t>
  </si>
  <si>
    <t>Courses Loaded</t>
  </si>
  <si>
    <t>Search for "*". The results should match up with the courses that appear within /clienttransfers/cimcourses/cl_scbrse.txt, or other such file appropriate to different SIS. Pay attention to first and last entry in said file.</t>
  </si>
  <si>
    <t>Search</t>
  </si>
  <si>
    <t>Search by Code</t>
  </si>
  <si>
    <t>Select a course, note its course code. Search for that course code, ensure that the correct course appears within search results.</t>
  </si>
  <si>
    <t>Quick Searches</t>
  </si>
  <si>
    <t>Select every quick search option. Ensure the results of said quick searches are accurate. For example, if there are no deactivated courses, expect no results for the "Deactivated Courses" search.</t>
  </si>
  <si>
    <t>Access Course by URL</t>
  </si>
  <si>
    <t>Find a course and note its course code (e.g.: ABC 123). Then attempt to access the following URL (replacing with appropriate code): "/courseadmin/?code=ABC 123". The search results should bring up only that course.</t>
  </si>
  <si>
    <t>Env</t>
  </si>
  <si>
    <t>4.6.40</t>
  </si>
  <si>
    <t>Client Code</t>
  </si>
  <si>
    <t>Environment</t>
  </si>
  <si>
    <t>Requester (CSM)</t>
  </si>
  <si>
    <t>Start Date</t>
  </si>
  <si>
    <t>End Date</t>
  </si>
  <si>
    <t>Test Cases Defined</t>
  </si>
  <si>
    <t xml:space="preserve">   Attempted</t>
  </si>
  <si>
    <t xml:space="preserve">   Remaining</t>
  </si>
  <si>
    <t xml:space="preserve">   Passed</t>
  </si>
  <si>
    <t xml:space="preserve">   Failed</t>
  </si>
  <si>
    <t xml:space="preserve">   Waiting</t>
  </si>
  <si>
    <t>Blocked</t>
  </si>
  <si>
    <t xml:space="preserve">   Other</t>
  </si>
  <si>
    <t>Resource Expended (seconds)</t>
  </si>
  <si>
    <t>Task Stop/End Time</t>
  </si>
  <si>
    <t>Task Start Time</t>
  </si>
  <si>
    <t>Remaining</t>
  </si>
  <si>
    <t>Goal</t>
  </si>
  <si>
    <t>Attempted</t>
  </si>
  <si>
    <t>Other</t>
  </si>
  <si>
    <t>Wait</t>
  </si>
  <si>
    <t>Fail</t>
  </si>
  <si>
    <t>Pass</t>
  </si>
  <si>
    <t>Valid States</t>
  </si>
  <si>
    <t>Passed</t>
  </si>
  <si>
    <t>Failed - CSM</t>
  </si>
  <si>
    <t>Failed - Dev</t>
  </si>
  <si>
    <t>Waiting - CSM</t>
  </si>
  <si>
    <t>Waiting - Dev</t>
  </si>
  <si>
    <t>Info/Comment</t>
  </si>
  <si>
    <t>Accepted</t>
  </si>
  <si>
    <t>N/A</t>
  </si>
  <si>
    <t>Valid Envs</t>
  </si>
  <si>
    <t>DEV</t>
  </si>
  <si>
    <t>TEST</t>
  </si>
  <si>
    <t>NEXT</t>
  </si>
  <si>
    <t>Valid Project Types</t>
  </si>
  <si>
    <t>Refresh</t>
  </si>
  <si>
    <t>Implementation</t>
  </si>
  <si>
    <t>SOW</t>
  </si>
  <si>
    <t>Testers</t>
  </si>
  <si>
    <t>Melanie</t>
  </si>
  <si>
    <t>Scotta</t>
  </si>
  <si>
    <t>CSMs</t>
  </si>
  <si>
    <t>Aaron</t>
  </si>
  <si>
    <t>Amy</t>
  </si>
  <si>
    <t>Jamie</t>
  </si>
  <si>
    <t>Kathy</t>
  </si>
  <si>
    <t>Leah</t>
  </si>
  <si>
    <t>Marissa</t>
  </si>
  <si>
    <t>Matt</t>
  </si>
  <si>
    <t>Megan</t>
  </si>
  <si>
    <t>Teri</t>
  </si>
  <si>
    <t>CIM Devs</t>
  </si>
  <si>
    <t>CAT Devs</t>
  </si>
  <si>
    <t>CLSS Devs</t>
  </si>
  <si>
    <t>Chris</t>
  </si>
  <si>
    <t>Ariel</t>
  </si>
  <si>
    <t>Dave</t>
  </si>
  <si>
    <t>Jared</t>
  </si>
  <si>
    <t>Ben</t>
  </si>
  <si>
    <t>Jeremy</t>
  </si>
  <si>
    <t>Lauren</t>
  </si>
  <si>
    <t>Lee</t>
  </si>
  <si>
    <t>Mike</t>
  </si>
  <si>
    <t>Nathan</t>
  </si>
  <si>
    <t>Tanner</t>
  </si>
  <si>
    <t>CIM Front End Dev</t>
  </si>
  <si>
    <t>Phil</t>
  </si>
  <si>
    <t>Phases</t>
  </si>
  <si>
    <t>Pre-Kickoff</t>
  </si>
  <si>
    <t>Jam</t>
  </si>
  <si>
    <t>Final</t>
  </si>
  <si>
    <t>Move2Next</t>
  </si>
  <si>
    <t>Project Type</t>
  </si>
  <si>
    <t>Tester</t>
  </si>
  <si>
    <t>Developer</t>
  </si>
  <si>
    <t>Status Summary</t>
  </si>
  <si>
    <t>sent to CSM</t>
  </si>
  <si>
    <t>Sent to Dev</t>
  </si>
  <si>
    <t>on CSM</t>
  </si>
  <si>
    <t>on Dev</t>
  </si>
  <si>
    <t>Tester Notes (no hard line breaks please):</t>
  </si>
  <si>
    <t>Estimated testing hrs</t>
  </si>
  <si>
    <t>Actual testing hrs</t>
  </si>
  <si>
    <t>Instance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</si>
</sst>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mm/dd/yy\ &quot;@&quot;\ hh:mm:ss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0"/>
      <name val="Copperplate Gothic Bold"/>
      <family val="2"/>
    </font>
    <font>
      <sz val="12"/>
      <color theme="0"/>
      <name val="Copperplate Gothic Bold"/>
      <family val="2"/>
    </font>
    <font>
      <sz val="16"/>
      <color theme="0"/>
      <name val="Copperplate Gothic Bold"/>
      <family val="2"/>
    </font>
    <font>
      <sz val="16"/>
      <color theme="1"/>
      <name val="Calibri"/>
      <family val="2"/>
      <scheme val="minor"/>
    </font>
    <font>
      <sz val="8"/>
      <color theme="0"/>
      <name val="Copperplate Gothic Bold"/>
      <family val="2"/>
    </font>
    <font>
      <b/>
      <i/>
      <sz val="8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18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ck">
        <color theme="4" tint="-0.499984740745262"/>
      </left>
      <right style="hair">
        <color rgb="FF0070C0"/>
      </right>
      <top style="thick">
        <color theme="0"/>
      </top>
      <bottom style="thick">
        <color theme="0"/>
      </bottom>
      <diagonal/>
    </border>
    <border>
      <left style="hair">
        <color rgb="FF0070C0"/>
      </left>
      <right style="hair">
        <color rgb="FF0070C0"/>
      </right>
      <top style="thick">
        <color theme="0"/>
      </top>
      <bottom style="thick">
        <color theme="0"/>
      </bottom>
      <diagonal/>
    </border>
    <border>
      <left style="hair">
        <color rgb="FF0070C0"/>
      </left>
      <right/>
      <top style="thick">
        <color theme="0"/>
      </top>
      <bottom style="thick">
        <color theme="0"/>
      </bottom>
      <diagonal/>
    </border>
    <border>
      <left style="hair">
        <color rgb="FF0070C0"/>
      </left>
      <right style="thick">
        <color theme="4" tint="-0.499984740745262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1" fontId="2" fillId="3" borderId="1" xfId="1" applyNumberFormat="1" applyFont="1" applyFill="1" applyBorder="1" applyAlignment="1" applyProtection="1">
      <alignment horizontal="center" vertical="center" wrapText="1"/>
    </xf>
    <xf numFmtId="22" fontId="2" fillId="3" borderId="2" xfId="1" applyNumberFormat="1" applyFont="1" applyFill="1" applyBorder="1" applyAlignment="1" applyProtection="1">
      <alignment horizontal="left" vertical="center" wrapText="1"/>
    </xf>
    <xf numFmtId="0" fontId="2" fillId="3" borderId="2" xfId="1" applyFont="1" applyFill="1" applyBorder="1" applyAlignment="1" applyProtection="1">
      <alignment vertical="center" wrapText="1"/>
    </xf>
    <xf numFmtId="0" fontId="2" fillId="3" borderId="2" xfId="1" applyFont="1" applyFill="1" applyBorder="1" applyAlignment="1" applyProtection="1">
      <alignment horizontal="center" vertical="center" wrapText="1"/>
    </xf>
    <xf numFmtId="164" fontId="2" fillId="3" borderId="2" xfId="1" applyNumberFormat="1" applyFont="1" applyFill="1" applyBorder="1" applyAlignment="1" applyProtection="1">
      <alignment horizontal="center" vertical="center"/>
    </xf>
    <xf numFmtId="164" fontId="2" fillId="3" borderId="3" xfId="1" applyNumberFormat="1" applyFont="1" applyFill="1" applyBorder="1" applyAlignment="1" applyProtection="1">
      <alignment horizontal="center" vertical="center"/>
    </xf>
    <xf numFmtId="49" fontId="2" fillId="3" borderId="3" xfId="1" applyNumberFormat="1" applyFont="1" applyFill="1" applyBorder="1" applyAlignment="1" applyProtection="1">
      <alignment horizontal="center" vertical="center" wrapText="1"/>
    </xf>
    <xf numFmtId="0" fontId="2" fillId="3" borderId="4" xfId="1" applyFont="1" applyFill="1" applyBorder="1" applyAlignment="1" applyProtection="1">
      <alignment horizontal="left" vertical="center" wrapText="1"/>
    </xf>
    <xf numFmtId="0" fontId="3" fillId="0" borderId="0" xfId="0" applyFont="1" applyBorder="1" applyProtection="1"/>
    <xf numFmtId="0" fontId="5" fillId="0" borderId="0" xfId="0" applyFont="1" applyFill="1" applyBorder="1" applyProtection="1"/>
    <xf numFmtId="1" fontId="5" fillId="0" borderId="0" xfId="1" applyNumberFormat="1" applyFont="1" applyFill="1" applyBorder="1" applyAlignment="1" applyProtection="1">
      <alignment horizontal="center" vertical="center" wrapText="1"/>
    </xf>
    <xf numFmtId="22" fontId="5" fillId="0" borderId="0" xfId="1" applyNumberFormat="1" applyFont="1" applyFill="1" applyBorder="1" applyAlignment="1" applyProtection="1">
      <alignment horizontal="left" vertical="center" wrapText="1"/>
    </xf>
    <xf numFmtId="0" fontId="5" fillId="0" borderId="0" xfId="1" applyFont="1" applyFill="1" applyBorder="1" applyAlignment="1" applyProtection="1">
      <alignment vertical="center" wrapText="1"/>
    </xf>
    <xf numFmtId="0" fontId="5" fillId="0" borderId="0" xfId="1" applyFont="1" applyFill="1" applyBorder="1" applyAlignment="1" applyProtection="1">
      <alignment horizontal="center" vertical="center" wrapText="1"/>
    </xf>
    <xf numFmtId="164" fontId="5" fillId="0" borderId="0" xfId="1" applyNumberFormat="1" applyFont="1" applyFill="1" applyBorder="1" applyAlignment="1" applyProtection="1">
      <alignment horizontal="center" vertical="center"/>
    </xf>
    <xf numFmtId="49" fontId="5" fillId="0" borderId="0" xfId="1" applyNumberFormat="1" applyFont="1" applyFill="1" applyBorder="1" applyAlignment="1" applyProtection="1">
      <alignment horizontal="center" vertical="center" wrapText="1"/>
    </xf>
    <xf numFmtId="0" fontId="5" fillId="0" borderId="0" xfId="1" applyFont="1" applyFill="1" applyBorder="1" applyAlignment="1" applyProtection="1">
      <alignment horizontal="left" vertical="center" wrapText="1"/>
    </xf>
    <xf numFmtId="0" fontId="9" fillId="0" borderId="0" xfId="0" applyFont="1" applyProtection="1"/>
    <xf numFmtId="0" fontId="0" fillId="4" borderId="0" xfId="0" applyFill="1"/>
    <xf numFmtId="0" fontId="0" fillId="4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  <protection locked="0"/>
    </xf>
    <xf numFmtId="0" fontId="0" fillId="4" borderId="0" xfId="0" applyFill="1" applyBorder="1" applyAlignment="1">
      <alignment horizontal="left" vertical="center"/>
    </xf>
    <xf numFmtId="0" fontId="0" fillId="0" borderId="9" xfId="0" applyFont="1" applyFill="1" applyBorder="1" applyAlignment="1" applyProtection="1">
      <alignment horizontal="left" vertical="center"/>
    </xf>
    <xf numFmtId="0" fontId="4" fillId="0" borderId="8" xfId="0" applyFont="1" applyFill="1" applyBorder="1" applyAlignment="1" applyProtection="1">
      <alignment horizontal="left" vertical="center"/>
    </xf>
    <xf numFmtId="0" fontId="0" fillId="0" borderId="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9" fontId="0" fillId="0" borderId="9" xfId="0" applyNumberFormat="1" applyFill="1" applyBorder="1" applyAlignment="1" applyProtection="1">
      <alignment horizontal="center"/>
    </xf>
    <xf numFmtId="0" fontId="0" fillId="0" borderId="9" xfId="0" applyFont="1" applyFill="1" applyBorder="1" applyAlignment="1" applyProtection="1">
      <alignment horizontal="right" vertical="center"/>
    </xf>
    <xf numFmtId="9" fontId="0" fillId="0" borderId="8" xfId="0" applyNumberFormat="1" applyFill="1" applyBorder="1" applyAlignment="1" applyProtection="1">
      <alignment horizontal="center"/>
    </xf>
    <xf numFmtId="0" fontId="0" fillId="0" borderId="7" xfId="0" applyFont="1" applyFill="1" applyBorder="1" applyAlignment="1" applyProtection="1">
      <alignment horizontal="right" vertical="center"/>
    </xf>
    <xf numFmtId="9" fontId="0" fillId="0" borderId="0" xfId="0" applyNumberFormat="1" applyFill="1" applyBorder="1" applyAlignment="1" applyProtection="1">
      <alignment horizontal="center"/>
    </xf>
    <xf numFmtId="0" fontId="12" fillId="4" borderId="0" xfId="0" applyFont="1" applyFill="1"/>
    <xf numFmtId="0" fontId="12" fillId="4" borderId="7" xfId="0" applyFont="1" applyFill="1" applyBorder="1" applyAlignment="1" applyProtection="1">
      <alignment horizontal="left" vertical="center"/>
    </xf>
    <xf numFmtId="0" fontId="12" fillId="0" borderId="0" xfId="0" applyFont="1"/>
    <xf numFmtId="0" fontId="12" fillId="4" borderId="0" xfId="0" applyFont="1" applyFill="1" applyBorder="1" applyAlignment="1" applyProtection="1">
      <alignment horizontal="left" vertic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4" fillId="0" borderId="0" xfId="0" applyFont="1"/>
    <xf numFmtId="1" fontId="4" fillId="0" borderId="0" xfId="0" applyNumberFormat="1" applyFont="1"/>
    <xf numFmtId="1" fontId="13" fillId="0" borderId="10" xfId="0" applyNumberFormat="1" applyFont="1" applyBorder="1" applyAlignment="1">
      <alignment horizontal="center" vertical="center" wrapText="1"/>
    </xf>
    <xf numFmtId="1" fontId="13" fillId="0" borderId="11" xfId="0" applyNumberFormat="1" applyFont="1" applyBorder="1" applyAlignment="1">
      <alignment horizontal="center" vertical="center" wrapText="1"/>
    </xf>
    <xf numFmtId="1" fontId="13" fillId="0" borderId="12" xfId="0" applyNumberFormat="1" applyFont="1" applyBorder="1" applyAlignment="1">
      <alignment horizontal="center" vertical="center" wrapText="1"/>
    </xf>
    <xf numFmtId="1" fontId="13" fillId="0" borderId="13" xfId="0" applyNumberFormat="1" applyFont="1" applyBorder="1" applyAlignment="1">
      <alignment horizontal="center" vertical="center" wrapText="1"/>
    </xf>
    <xf numFmtId="1" fontId="13" fillId="0" borderId="14" xfId="0" applyNumberFormat="1" applyFont="1" applyBorder="1" applyAlignment="1">
      <alignment horizontal="center" vertical="center" wrapText="1"/>
    </xf>
    <xf numFmtId="1" fontId="0" fillId="0" borderId="15" xfId="0" applyNumberFormat="1" applyFont="1" applyBorder="1" applyAlignment="1">
      <alignment horizontal="center" vertical="center"/>
    </xf>
    <xf numFmtId="165" fontId="0" fillId="0" borderId="11" xfId="0" applyNumberFormat="1" applyFont="1" applyBorder="1" applyAlignment="1">
      <alignment horizontal="center" vertical="center"/>
    </xf>
    <xf numFmtId="165" fontId="0" fillId="0" borderId="16" xfId="0" applyNumberFormat="1" applyFont="1" applyBorder="1" applyAlignment="1">
      <alignment horizontal="center" vertical="center"/>
    </xf>
    <xf numFmtId="1" fontId="13" fillId="0" borderId="17" xfId="0" applyNumberFormat="1" applyFont="1" applyBorder="1" applyAlignment="1">
      <alignment horizontal="center" vertical="center" wrapText="1"/>
    </xf>
    <xf numFmtId="165" fontId="13" fillId="0" borderId="18" xfId="0" applyNumberFormat="1" applyFont="1" applyBorder="1" applyAlignment="1">
      <alignment horizontal="center" vertical="center"/>
    </xf>
    <xf numFmtId="165" fontId="13" fillId="0" borderId="19" xfId="0" applyNumberFormat="1" applyFont="1" applyBorder="1" applyAlignment="1">
      <alignment horizontal="center" vertical="center"/>
    </xf>
    <xf numFmtId="1" fontId="4" fillId="0" borderId="20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9" fillId="0" borderId="0" xfId="0" applyFont="1"/>
    <xf numFmtId="1" fontId="8" fillId="3" borderId="0" xfId="0" applyNumberFormat="1" applyFont="1" applyFill="1" applyAlignment="1">
      <alignment horizontal="left" vertical="center"/>
    </xf>
    <xf numFmtId="1" fontId="7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9" fillId="3" borderId="0" xfId="0" applyFont="1" applyFill="1"/>
    <xf numFmtId="0" fontId="4" fillId="0" borderId="22" xfId="0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/>
    <xf numFmtId="0" fontId="0" fillId="0" borderId="23" xfId="0" applyBorder="1"/>
    <xf numFmtId="0" fontId="0" fillId="4" borderId="0" xfId="0" applyFill="1" applyBorder="1" applyAlignment="1">
      <alignment horizontal="left" vertical="center"/>
    </xf>
    <xf numFmtId="0" fontId="0" fillId="4" borderId="0" xfId="0" applyFill="1" applyBorder="1"/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0" fontId="11" fillId="3" borderId="0" xfId="0" applyFont="1" applyFill="1" applyBorder="1" applyAlignment="1">
      <alignment horizontal="center" vertical="center"/>
    </xf>
    <xf numFmtId="0" fontId="1" fillId="3" borderId="0" xfId="0" applyFont="1" applyFill="1" applyBorder="1"/>
    <xf numFmtId="0" fontId="6" fillId="3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center" vertical="center"/>
    </xf>
    <xf numFmtId="0" fontId="4" fillId="4" borderId="0" xfId="0" applyFont="1" applyFill="1"/>
    <xf numFmtId="0" fontId="0" fillId="4" borderId="0" xfId="0" applyFont="1" applyFill="1" applyBorder="1" applyAlignment="1" applyProtection="1">
      <alignment horizontal="left" vertical="center"/>
    </xf>
    <xf numFmtId="0" fontId="15" fillId="4" borderId="0" xfId="0" applyFont="1" applyFill="1" applyBorder="1" applyAlignment="1" applyProtection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26</xdr:row>
          <xdr:rowOff>0</xdr:rowOff>
        </xdr:from>
        <xdr:to>
          <xdr:col>4</xdr:col>
          <xdr:colOff>133350</xdr:colOff>
          <xdr:row>26</xdr:row>
          <xdr:rowOff>314325</xdr:rowOff>
        </xdr:to>
        <xdr:sp macro="" textlink="">
          <xdr:nvSpPr>
            <xdr:cNvPr id="3073" name="Finalize" descr="Finalize Projec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</xdr:row>
          <xdr:rowOff>0</xdr:rowOff>
        </xdr:from>
        <xdr:to>
          <xdr:col>11</xdr:col>
          <xdr:colOff>0</xdr:colOff>
          <xdr:row>4</xdr:row>
          <xdr:rowOff>38100</xdr:rowOff>
        </xdr:to>
        <xdr:sp macro="" textlink="">
          <xdr:nvSpPr>
            <xdr:cNvPr id="4097" name="StartStopTask" descr="Start/Stop Tex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4098" name="ResetTimeTrackingShe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ugus\dscudiero\auburn-cim-implimentation-123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QATracking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Summary"/>
      <sheetName val="Testing Detail"/>
      <sheetName val="Time Tracking"/>
      <sheetName val="Lookup Values"/>
      <sheetName val="auburn-cim-implimentation-12345"/>
    </sheetNames>
    <sheetDataSet>
      <sheetData sheetId="0">
        <row r="13">
          <cell r="B13" t="str">
            <v>Test Cases Defined</v>
          </cell>
        </row>
      </sheetData>
      <sheetData sheetId="1"/>
      <sheetData sheetId="2">
        <row r="4">
          <cell r="E4" t="str">
            <v>Pass</v>
          </cell>
          <cell r="F4" t="str">
            <v>Fail</v>
          </cell>
          <cell r="G4" t="str">
            <v>Wait</v>
          </cell>
          <cell r="H4" t="str">
            <v>Attempted</v>
          </cell>
          <cell r="I4" t="str">
            <v>Goal</v>
          </cell>
        </row>
        <row r="5">
          <cell r="C5" t="str">
            <v>Task Stop/End Time</v>
          </cell>
          <cell r="D5" t="str">
            <v>Resource Expended (seconds)</v>
          </cell>
          <cell r="E5">
            <v>14</v>
          </cell>
          <cell r="F5">
            <v>6</v>
          </cell>
          <cell r="G5">
            <v>3</v>
          </cell>
          <cell r="H5">
            <v>23</v>
          </cell>
          <cell r="I5">
            <v>42</v>
          </cell>
        </row>
        <row r="6">
          <cell r="C6">
            <v>42584.702256944445</v>
          </cell>
          <cell r="D6">
            <v>2</v>
          </cell>
          <cell r="E6">
            <v>1</v>
          </cell>
          <cell r="F6">
            <v>6</v>
          </cell>
          <cell r="G6">
            <v>1</v>
          </cell>
          <cell r="H6">
            <v>8</v>
          </cell>
          <cell r="I6">
            <v>42</v>
          </cell>
        </row>
        <row r="7">
          <cell r="C7">
            <v>42585.394849537035</v>
          </cell>
          <cell r="D7">
            <v>1594</v>
          </cell>
          <cell r="E7">
            <v>1</v>
          </cell>
          <cell r="F7">
            <v>6</v>
          </cell>
          <cell r="G7">
            <v>1</v>
          </cell>
          <cell r="H7">
            <v>8</v>
          </cell>
          <cell r="I7">
            <v>42</v>
          </cell>
        </row>
      </sheetData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Summary"/>
      <sheetName val="TestingDetail-cim-courseadmin"/>
      <sheetName val="TestingDetail-cim-genedadmin"/>
      <sheetName val="TestingDetail-cim-programadmin"/>
      <sheetName val="TestingDetail-cim-miscadmin"/>
      <sheetName val="TestingDetail-cat-base"/>
      <sheetName val="TestingDetail-clss-base"/>
      <sheetName val="LookupValues"/>
      <sheetName val="QATracking1"/>
    </sheetNames>
    <sheetDataSet>
      <sheetData sheetId="0">
        <row r="1">
          <cell r="D1" t="str">
            <v xml:space="preserve"> -  /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nalize">
    <pageSetUpPr fitToPage="1"/>
  </sheetPr>
  <dimension ref="A1:Q41"/>
  <sheetViews>
    <sheetView showGridLines="0" tabSelected="1" zoomScaleNormal="100" workbookViewId="0">
      <selection activeCell="C5" sqref="C5:D5"/>
    </sheetView>
  </sheetViews>
  <sheetFormatPr defaultRowHeight="15" x14ac:dyDescent="0.25"/>
  <cols>
    <col min="1" max="1" width="5.7109375" customWidth="1"/>
    <col min="2" max="2" width="19.140625" style="41" customWidth="1"/>
    <col min="3" max="3" width="15.7109375" style="39" customWidth="1"/>
    <col min="4" max="4" width="10.7109375" style="39" customWidth="1"/>
    <col min="5" max="5" width="3.7109375" style="39" customWidth="1"/>
    <col min="6" max="6" width="15.7109375" customWidth="1"/>
    <col min="7" max="7" width="10.7109375" customWidth="1"/>
    <col min="8" max="8" width="3.7109375" customWidth="1"/>
    <col min="9" max="9" width="15.7109375" customWidth="1"/>
    <col min="10" max="10" width="10.7109375" customWidth="1"/>
    <col min="11" max="11" width="3.7109375" customWidth="1"/>
    <col min="12" max="12" width="15.7109375" customWidth="1"/>
    <col min="13" max="13" width="10.7109375" customWidth="1"/>
    <col min="14" max="14" width="3.7109375" customWidth="1"/>
    <col min="15" max="15" width="15.7109375" customWidth="1"/>
    <col min="16" max="16" width="10.7109375" customWidth="1"/>
    <col min="17" max="17" width="5.7109375" customWidth="1"/>
  </cols>
  <sheetData>
    <row r="1" spans="1:17" ht="39.950000000000003" customHeight="1" x14ac:dyDescent="0.25">
      <c r="A1" s="81"/>
      <c r="B1" s="82" t="str">
        <f ca="1">MID(CELL("filename",A1),FIND("]",CELL("filename",A1))+1,255)</f>
        <v>ProjectSummary</v>
      </c>
      <c r="C1" s="83"/>
      <c r="D1" s="83" t="str">
        <f ca="1">CONCATENATE(" -- ",,MID(SUBSTITUTE(CELL("filename",A1),"[",""),1,FIND("]",CELL("filename",A1))-1))</f>
        <v xml:space="preserve"> -- Y:\tools\workbooks\codeTest.xlsm]</v>
      </c>
      <c r="E1" s="83"/>
      <c r="F1" s="83"/>
      <c r="G1" s="83"/>
      <c r="H1" s="83"/>
      <c r="I1" s="83"/>
      <c r="J1" s="84"/>
      <c r="K1" s="84"/>
      <c r="L1" s="84"/>
      <c r="M1" s="84"/>
      <c r="N1" s="84"/>
      <c r="O1" s="84"/>
      <c r="P1" s="80" t="s">
        <v>23</v>
      </c>
      <c r="Q1" s="80"/>
    </row>
    <row r="2" spans="1:17" x14ac:dyDescent="0.25">
      <c r="A2" s="77"/>
      <c r="B2" s="86"/>
      <c r="C2" s="86"/>
      <c r="D2" s="86"/>
      <c r="E2" s="22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7" x14ac:dyDescent="0.25">
      <c r="A3" s="77"/>
      <c r="B3" s="24" t="s">
        <v>24</v>
      </c>
      <c r="C3" s="88"/>
      <c r="D3" s="89"/>
      <c r="E3" s="23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</row>
    <row r="4" spans="1:17" ht="3" customHeight="1" x14ac:dyDescent="0.25">
      <c r="A4" s="77"/>
      <c r="B4" s="76"/>
      <c r="C4" s="76"/>
      <c r="D4" s="76"/>
      <c r="E4" s="76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</row>
    <row r="5" spans="1:17" x14ac:dyDescent="0.25">
      <c r="A5" s="77"/>
      <c r="B5" s="76" t="s">
        <v>109</v>
      </c>
      <c r="C5" s="92"/>
      <c r="D5" s="93"/>
      <c r="E5" s="76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77"/>
    </row>
    <row r="6" spans="1:17" ht="3" customHeight="1" x14ac:dyDescent="0.25">
      <c r="A6" s="77"/>
      <c r="B6" s="76"/>
      <c r="C6" s="76"/>
      <c r="D6" s="76"/>
      <c r="E6" s="76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7" spans="1:17" x14ac:dyDescent="0.25">
      <c r="A7" s="77"/>
      <c r="B7" s="94"/>
      <c r="C7" s="94"/>
      <c r="D7" s="94"/>
      <c r="E7" s="24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</row>
    <row r="8" spans="1:17" x14ac:dyDescent="0.25">
      <c r="A8" s="77"/>
      <c r="B8" s="24" t="s">
        <v>98</v>
      </c>
      <c r="C8" s="88"/>
      <c r="D8" s="89"/>
      <c r="E8" s="24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77"/>
    </row>
    <row r="9" spans="1:17" ht="3" customHeight="1" x14ac:dyDescent="0.25">
      <c r="A9" s="77"/>
      <c r="B9" s="24"/>
      <c r="C9" s="24"/>
      <c r="D9" s="24"/>
      <c r="E9" s="24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</row>
    <row r="10" spans="1:17" x14ac:dyDescent="0.25">
      <c r="A10" s="77"/>
      <c r="B10" s="24" t="s">
        <v>25</v>
      </c>
      <c r="C10" s="88"/>
      <c r="D10" s="89"/>
      <c r="E10" s="24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77"/>
    </row>
    <row r="11" spans="1:17" ht="3" customHeight="1" x14ac:dyDescent="0.25">
      <c r="A11" s="77"/>
      <c r="B11" s="24"/>
      <c r="C11" s="24"/>
      <c r="D11" s="24"/>
      <c r="E11" s="24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</row>
    <row r="12" spans="1:17" x14ac:dyDescent="0.25">
      <c r="A12" s="77"/>
      <c r="B12" s="76" t="s">
        <v>99</v>
      </c>
      <c r="C12" s="79"/>
      <c r="D12" s="78"/>
      <c r="E12" s="24"/>
      <c r="F12" s="79"/>
      <c r="G12" s="78"/>
      <c r="H12" s="77"/>
      <c r="I12" s="79"/>
      <c r="J12" s="78"/>
      <c r="K12" s="77"/>
      <c r="L12" s="79"/>
      <c r="M12" s="78"/>
      <c r="N12" s="77"/>
      <c r="O12" s="79"/>
      <c r="P12" s="78"/>
      <c r="Q12" s="77"/>
    </row>
    <row r="13" spans="1:17" ht="3" customHeight="1" x14ac:dyDescent="0.25">
      <c r="A13" s="77"/>
      <c r="B13" s="24"/>
      <c r="C13" s="24"/>
      <c r="D13" s="24"/>
      <c r="E13" s="24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</row>
    <row r="14" spans="1:17" x14ac:dyDescent="0.25">
      <c r="A14" s="77"/>
      <c r="B14" s="76" t="s">
        <v>26</v>
      </c>
      <c r="C14" s="79"/>
      <c r="D14" s="78"/>
      <c r="E14" s="24"/>
      <c r="F14" s="79"/>
      <c r="G14" s="78"/>
      <c r="H14" s="77"/>
      <c r="I14" s="79"/>
      <c r="J14" s="78"/>
      <c r="K14" s="77"/>
      <c r="L14" s="79"/>
      <c r="M14" s="78"/>
      <c r="N14" s="77"/>
      <c r="O14" s="79"/>
      <c r="P14" s="78"/>
      <c r="Q14" s="77"/>
    </row>
    <row r="15" spans="1:17" ht="3" customHeight="1" x14ac:dyDescent="0.25">
      <c r="A15" s="77"/>
      <c r="B15" s="24"/>
      <c r="C15" s="24"/>
      <c r="D15" s="24"/>
      <c r="E15" s="24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</row>
    <row r="16" spans="1:17" x14ac:dyDescent="0.25">
      <c r="A16" s="77"/>
      <c r="B16" s="76" t="s">
        <v>100</v>
      </c>
      <c r="C16" s="79"/>
      <c r="D16" s="78"/>
      <c r="E16" s="76"/>
      <c r="F16" s="79"/>
      <c r="G16" s="78"/>
      <c r="H16" s="77"/>
      <c r="I16" s="79"/>
      <c r="J16" s="78"/>
      <c r="K16" s="77"/>
      <c r="L16" s="79"/>
      <c r="M16" s="78"/>
      <c r="N16" s="77"/>
      <c r="O16" s="79"/>
      <c r="P16" s="78"/>
      <c r="Q16" s="77"/>
    </row>
    <row r="17" spans="1:17" ht="3" customHeight="1" x14ac:dyDescent="0.25">
      <c r="A17" s="77"/>
      <c r="B17" s="76"/>
      <c r="C17" s="76"/>
      <c r="D17" s="76"/>
      <c r="E17" s="76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</row>
    <row r="18" spans="1:17" x14ac:dyDescent="0.25">
      <c r="A18" s="77"/>
      <c r="B18" s="24" t="s">
        <v>27</v>
      </c>
      <c r="C18" s="88"/>
      <c r="D18" s="89"/>
      <c r="E18" s="24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77"/>
    </row>
    <row r="19" spans="1:17" ht="15" customHeight="1" x14ac:dyDescent="0.25">
      <c r="A19" s="77"/>
      <c r="B19" s="24"/>
      <c r="C19" s="24"/>
      <c r="D19" s="24"/>
      <c r="E19" s="24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</row>
    <row r="20" spans="1:17" x14ac:dyDescent="0.25">
      <c r="A20" s="77"/>
      <c r="B20" s="24" t="s">
        <v>107</v>
      </c>
      <c r="C20" s="88"/>
      <c r="D20" s="89"/>
      <c r="E20" s="24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77"/>
    </row>
    <row r="21" spans="1:17" ht="3" customHeight="1" x14ac:dyDescent="0.25">
      <c r="A21" s="77"/>
      <c r="B21" s="76"/>
      <c r="C21" s="76"/>
      <c r="D21" s="76"/>
      <c r="E21" s="76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</row>
    <row r="22" spans="1:17" x14ac:dyDescent="0.25">
      <c r="A22" s="77"/>
      <c r="B22" s="76" t="s">
        <v>108</v>
      </c>
      <c r="C22" s="88"/>
      <c r="D22" s="89"/>
      <c r="E22" s="76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77"/>
    </row>
    <row r="23" spans="1:17" ht="3" customHeight="1" x14ac:dyDescent="0.25">
      <c r="A23" s="77"/>
      <c r="B23" s="76"/>
      <c r="C23" s="76"/>
      <c r="D23" s="76"/>
      <c r="E23" s="76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</row>
    <row r="24" spans="1:17" x14ac:dyDescent="0.25">
      <c r="A24" s="77"/>
      <c r="B24" s="24" t="s">
        <v>28</v>
      </c>
      <c r="C24" s="88"/>
      <c r="D24" s="89"/>
      <c r="E24" s="2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77"/>
    </row>
    <row r="25" spans="1:17" x14ac:dyDescent="0.25">
      <c r="A25" s="77"/>
      <c r="B25" s="76"/>
      <c r="C25" s="76"/>
      <c r="D25" s="76"/>
      <c r="E25" s="76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77"/>
    </row>
    <row r="26" spans="1:17" ht="15.75" customHeight="1" x14ac:dyDescent="0.25">
      <c r="A26" s="21"/>
      <c r="B26" s="86"/>
      <c r="C26" s="86"/>
      <c r="D26" s="86"/>
      <c r="E26" s="22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1:17" ht="27.75" customHeight="1" x14ac:dyDescent="0.25">
      <c r="A27" s="21"/>
      <c r="B27" s="87" t="s">
        <v>101</v>
      </c>
      <c r="C27" s="87"/>
      <c r="D27" s="87"/>
      <c r="E27" s="22"/>
      <c r="F27" s="21"/>
      <c r="G27" s="85" t="s">
        <v>106</v>
      </c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7" x14ac:dyDescent="0.25">
      <c r="A28" s="21"/>
      <c r="B28" s="26" t="s">
        <v>29</v>
      </c>
      <c r="C28" s="27">
        <f ca="1">COUNT(INDIRECT("TestingDetail!A:A"))</f>
        <v>10</v>
      </c>
      <c r="D28" s="28"/>
      <c r="E28" s="28"/>
      <c r="F28" s="21"/>
      <c r="G28" s="90"/>
      <c r="H28" s="91"/>
      <c r="I28" s="91"/>
      <c r="J28" s="91"/>
      <c r="K28" s="91"/>
      <c r="L28" s="91"/>
      <c r="M28" s="91"/>
      <c r="N28" s="91"/>
      <c r="O28" s="91"/>
      <c r="P28" s="91"/>
      <c r="Q28" s="21"/>
    </row>
    <row r="29" spans="1:17" x14ac:dyDescent="0.25">
      <c r="A29" s="21"/>
      <c r="B29" s="25" t="s">
        <v>30</v>
      </c>
      <c r="C29" s="29">
        <f ca="1">SUM(COUNTIFS(INDIRECT("TestingDetail!D:D"),{"PASSED*","FAILED*","WAITING*"}))</f>
        <v>0</v>
      </c>
      <c r="D29" s="30">
        <f ca="1">C29/C28</f>
        <v>0</v>
      </c>
      <c r="E29" s="30"/>
      <c r="F29" s="2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21"/>
    </row>
    <row r="30" spans="1:17" x14ac:dyDescent="0.25">
      <c r="A30" s="21"/>
      <c r="B30" s="25" t="s">
        <v>31</v>
      </c>
      <c r="C30" s="29">
        <f ca="1">C28-C29</f>
        <v>10</v>
      </c>
      <c r="D30" s="30">
        <f ca="1">C30/C28</f>
        <v>1</v>
      </c>
      <c r="E30" s="30"/>
      <c r="F30" s="2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21"/>
    </row>
    <row r="31" spans="1:17" x14ac:dyDescent="0.25">
      <c r="A31" s="21"/>
      <c r="B31" s="25" t="s">
        <v>32</v>
      </c>
      <c r="C31" s="29">
        <f ca="1">COUNTIF(INDIRECT("TestingDetail!D:D"),"PASSED*")</f>
        <v>0</v>
      </c>
      <c r="D31" s="30">
        <f ca="1">IF(C29&lt;&gt;0,C31/C29,0)</f>
        <v>0</v>
      </c>
      <c r="E31" s="32"/>
      <c r="F31" s="2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21"/>
    </row>
    <row r="32" spans="1:17" x14ac:dyDescent="0.25">
      <c r="A32" s="21"/>
      <c r="B32" s="25" t="s">
        <v>33</v>
      </c>
      <c r="C32" s="29">
        <f ca="1">COUNTIF(INDIRECT("TestingDetail!D:D"),"FAILED*")</f>
        <v>0</v>
      </c>
      <c r="D32" s="30">
        <f ca="1">IF(C29&lt;&gt;0,C32/C29,0)</f>
        <v>0</v>
      </c>
      <c r="E32" s="32"/>
      <c r="F32" s="2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21"/>
    </row>
    <row r="33" spans="1:17" x14ac:dyDescent="0.25">
      <c r="A33" s="21"/>
      <c r="B33" s="31" t="s">
        <v>102</v>
      </c>
      <c r="C33" s="29">
        <f ca="1">COUNTIF(INDIRECT("TestingDetail!D:D"),"FAILED - CSM")</f>
        <v>0</v>
      </c>
      <c r="D33" s="30"/>
      <c r="E33" s="30"/>
      <c r="F33" s="2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21"/>
    </row>
    <row r="34" spans="1:17" x14ac:dyDescent="0.25">
      <c r="A34" s="21"/>
      <c r="B34" s="31" t="s">
        <v>103</v>
      </c>
      <c r="C34" s="29">
        <f ca="1">COUNTIF(INDIRECT("TestingDetail!D:D"),"FAILED - DEV")</f>
        <v>0</v>
      </c>
      <c r="D34" s="32"/>
      <c r="E34" s="34"/>
      <c r="F34" s="2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21"/>
    </row>
    <row r="35" spans="1:17" x14ac:dyDescent="0.25">
      <c r="A35" s="21"/>
      <c r="B35" s="25" t="s">
        <v>34</v>
      </c>
      <c r="C35" s="29">
        <f ca="1">COUNTIF(INDIRECT("TestingDetail!D:D"),"WAITING*")</f>
        <v>0</v>
      </c>
      <c r="D35" s="30">
        <f ca="1">IF(C29&lt;&gt;0,C35/C29,0)</f>
        <v>0</v>
      </c>
      <c r="E35" s="30"/>
      <c r="F35" s="2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21"/>
    </row>
    <row r="36" spans="1:17" x14ac:dyDescent="0.25">
      <c r="A36" s="21"/>
      <c r="B36" s="33" t="s">
        <v>104</v>
      </c>
      <c r="C36" s="29">
        <f ca="1">COUNTIF(INDIRECT("TestingDetail!D:D"),"WAITING - CSM")</f>
        <v>0</v>
      </c>
      <c r="D36" s="30"/>
      <c r="E36" s="30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</row>
    <row r="37" spans="1:17" x14ac:dyDescent="0.25">
      <c r="A37" s="21"/>
      <c r="B37" s="33" t="s">
        <v>105</v>
      </c>
      <c r="C37" s="29">
        <f ca="1">COUNTIF(INDIRECT("TestingDetail!D:D"),"WAITING - DEV")</f>
        <v>0</v>
      </c>
      <c r="D37" s="34"/>
      <c r="E37" s="34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</row>
    <row r="38" spans="1:17" x14ac:dyDescent="0.25">
      <c r="A38" s="21"/>
      <c r="B38" s="33" t="s">
        <v>35</v>
      </c>
      <c r="C38" s="29">
        <f ca="1">COUNTIF(INDIRECT("TestingDetail!D:D"),"BLOCKED")</f>
        <v>0</v>
      </c>
      <c r="D38" s="30">
        <f ca="1">IF(C29&lt;&gt;0,C38/C29,0)</f>
        <v>0</v>
      </c>
      <c r="E38" s="30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</row>
    <row r="39" spans="1:17" x14ac:dyDescent="0.25">
      <c r="A39" s="21"/>
      <c r="B39" s="25" t="s">
        <v>36</v>
      </c>
      <c r="C39" s="27">
        <f ca="1">SUM(COUNTIFS(INDIRECT("TestingDetail!E:E"),{"accept*","info*","n/a*"}))</f>
        <v>0</v>
      </c>
      <c r="D39" s="30"/>
      <c r="E39" s="3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</row>
    <row r="40" spans="1:17" s="37" customFormat="1" ht="11.25" x14ac:dyDescent="0.2">
      <c r="A40" s="35"/>
      <c r="B40" s="36"/>
      <c r="C40" s="36"/>
      <c r="D40" s="36"/>
      <c r="E40" s="36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</row>
    <row r="41" spans="1:17" s="37" customFormat="1" ht="11.25" x14ac:dyDescent="0.2">
      <c r="A41" s="35"/>
      <c r="B41" s="38"/>
      <c r="C41" s="38"/>
      <c r="D41" s="38"/>
      <c r="E41" s="38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</row>
  </sheetData>
  <sheetProtection selectLockedCells="1" sort="0" autoFilter="0"/>
  <protectedRanges>
    <protectedRange password="DDDF" sqref="A42:XFD1048576 A1:XFD39" name="projectsummary" securityDescriptor="O:WDG:WDD:(A;;CC;;;S-1-5-21-1065746463-197919211-1947940980-1133)(A;;CC;;;S-1-5-21-1065746463-197919211-1947940980-1272)(A;;CC;;;S-1-5-21-1065746463-197919211-1947940980-1303)(A;;CC;;;S-1-5-21-1065746463-197919211-1947940980-1127)"/>
    <protectedRange password="DDDF" sqref="A40:XFD41" name="projectsummary_3" securityDescriptor="O:WDG:WDD:(A;;CC;;;S-1-5-21-1065746463-197919211-1947940980-1133)(A;;CC;;;S-1-5-21-1065746463-197919211-1947940980-1272)(A;;CC;;;S-1-5-21-1065746463-197919211-1947940980-1303)(A;;CC;;;S-1-5-21-1065746463-197919211-1947940980-1127)"/>
  </protectedRanges>
  <mergeCells count="13">
    <mergeCell ref="B2:D2"/>
    <mergeCell ref="B27:D27"/>
    <mergeCell ref="C3:D3"/>
    <mergeCell ref="G28:P35"/>
    <mergeCell ref="C5:D5"/>
    <mergeCell ref="C8:D8"/>
    <mergeCell ref="C10:D10"/>
    <mergeCell ref="C18:D18"/>
    <mergeCell ref="C20:D20"/>
    <mergeCell ref="C22:D22"/>
    <mergeCell ref="C24:D24"/>
    <mergeCell ref="B7:D7"/>
    <mergeCell ref="B26:D26"/>
  </mergeCells>
  <dataValidations count="1">
    <dataValidation type="list" allowBlank="1" showInputMessage="1" showErrorMessage="1" sqref="C5:D5">
      <formula1>",CIM - Courseadmin,CIM - Progamadmin,CIM - Miscadmin,CAT - Base,CLSS - Base"</formula1>
    </dataValidation>
  </dataValidations>
  <pageMargins left="0.25" right="0.25" top="0.75" bottom="0.75" header="0.3" footer="0.3"/>
  <pageSetup scale="75" orientation="landscape" r:id="rId1"/>
  <headerFooter>
    <oddHeader>&amp;C&amp;"-,Bold Italic"&amp;14&amp;K04-049&amp;A</oddHeader>
    <oddFooter>&amp;L&amp;D &amp;T&amp;C&amp;F &amp;A&amp;R&amp;P of &amp;N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Finalize">
          <controlPr autoLine="0" altText="Finalize Project" r:id="rId5">
            <anchor moveWithCells="1">
              <from>
                <xdr:col>0</xdr:col>
                <xdr:colOff>323850</xdr:colOff>
                <xdr:row>26</xdr:row>
                <xdr:rowOff>0</xdr:rowOff>
              </from>
              <to>
                <xdr:col>4</xdr:col>
                <xdr:colOff>133350</xdr:colOff>
                <xdr:row>26</xdr:row>
                <xdr:rowOff>314325</xdr:rowOff>
              </to>
            </anchor>
          </controlPr>
        </control>
      </mc:Choice>
      <mc:Fallback>
        <control shapeId="3073" r:id="rId4" name="Final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9" sqref="A8:A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18" bestFit="1" customWidth="1"/>
  </cols>
  <sheetData>
    <row r="1" spans="1:1" x14ac:dyDescent="0.25">
      <c r="A1" t="s">
        <v>0</v>
      </c>
    </row>
  </sheetData>
  <dataValidations count="1">
    <dataValidation type="list" allowBlank="1" showInputMessage="1" showErrorMessage="1" sqref="A1">
      <formula1>",CIM - Courseadmin,CIM - Progamadmin,CIM - Miscadmin,CAT - Base,CLSS - Base"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3"/>
  <sheetViews>
    <sheetView workbookViewId="0">
      <selection sqref="A1:R1"/>
    </sheetView>
  </sheetViews>
  <sheetFormatPr defaultRowHeight="15" x14ac:dyDescent="0.25"/>
  <cols>
    <col min="1" max="1" width="5.28515625" style="2" bestFit="1" customWidth="1"/>
    <col min="2" max="2" width="9.7109375" style="2" bestFit="1" customWidth="1"/>
    <col min="3" max="3" width="21.85546875" style="2" bestFit="1" customWidth="1"/>
    <col min="4" max="4" width="65.5703125" style="1" customWidth="1"/>
    <col min="9" max="9" width="4.5703125" bestFit="1" customWidth="1"/>
    <col min="10" max="10" width="73.5703125" customWidth="1"/>
  </cols>
  <sheetData>
    <row r="1" spans="1:18" s="20" customFormat="1" ht="39.950000000000003" customHeight="1" thickBot="1" x14ac:dyDescent="0.4">
      <c r="A1" s="95" t="str">
        <f ca="1">CONCATENATE(,MID(CELL("filename",A1),FIND("]",CELL("filename",A1))+1,255)," -- ",Sheet2!A1)</f>
        <v>TestingDetail -- CIM - Courseadmin</v>
      </c>
      <c r="B1" s="95"/>
      <c r="C1" s="95"/>
      <c r="D1" s="95"/>
      <c r="E1" s="95"/>
      <c r="F1" s="95"/>
      <c r="G1" s="95"/>
      <c r="H1" s="95"/>
      <c r="I1" s="95"/>
      <c r="J1" s="96"/>
      <c r="K1" s="96"/>
      <c r="L1" s="96"/>
      <c r="M1" s="96"/>
      <c r="N1" s="96"/>
      <c r="O1" s="96"/>
      <c r="P1" s="96"/>
      <c r="Q1" s="96"/>
      <c r="R1" s="97"/>
    </row>
    <row r="2" spans="1:18" s="11" customFormat="1" ht="33" thickTop="1" thickBot="1" x14ac:dyDescent="0.3">
      <c r="A2" s="3" t="s">
        <v>7</v>
      </c>
      <c r="B2" s="4" t="s">
        <v>9</v>
      </c>
      <c r="C2" s="5" t="s">
        <v>1</v>
      </c>
      <c r="D2" s="5" t="s">
        <v>8</v>
      </c>
      <c r="E2" s="6" t="s">
        <v>2</v>
      </c>
      <c r="F2" s="6" t="s">
        <v>3</v>
      </c>
      <c r="G2" s="7" t="s">
        <v>4</v>
      </c>
      <c r="H2" s="8" t="s">
        <v>5</v>
      </c>
      <c r="I2" s="9" t="s">
        <v>22</v>
      </c>
      <c r="J2" s="10" t="s">
        <v>6</v>
      </c>
    </row>
    <row r="3" spans="1:18" s="12" customFormat="1" ht="32.25" thickTop="1" x14ac:dyDescent="0.25">
      <c r="A3" s="13">
        <v>1</v>
      </c>
      <c r="B3" s="14" t="s">
        <v>10</v>
      </c>
      <c r="C3" s="15" t="s">
        <v>11</v>
      </c>
      <c r="D3" s="15" t="s">
        <v>12</v>
      </c>
      <c r="E3" s="16"/>
      <c r="F3" s="16"/>
      <c r="G3" s="17"/>
      <c r="H3" s="17"/>
      <c r="I3" s="18"/>
      <c r="J3" s="19"/>
    </row>
    <row r="4" spans="1:18" s="12" customFormat="1" ht="15.75" x14ac:dyDescent="0.25">
      <c r="A4" s="13"/>
      <c r="B4" s="14"/>
      <c r="C4" s="15"/>
      <c r="D4" s="15"/>
      <c r="E4" s="16"/>
      <c r="F4" s="16"/>
      <c r="G4" s="17"/>
      <c r="H4" s="17"/>
      <c r="I4" s="18"/>
      <c r="J4" s="19"/>
    </row>
    <row r="5" spans="1:18" s="12" customFormat="1" ht="63" x14ac:dyDescent="0.25">
      <c r="A5" s="13">
        <v>2</v>
      </c>
      <c r="B5" s="14" t="s">
        <v>10</v>
      </c>
      <c r="C5" s="15" t="s">
        <v>13</v>
      </c>
      <c r="D5" s="15" t="s">
        <v>14</v>
      </c>
      <c r="E5" s="16"/>
      <c r="F5" s="16"/>
      <c r="G5" s="17"/>
      <c r="H5" s="17"/>
      <c r="I5" s="18"/>
      <c r="J5" s="19"/>
    </row>
    <row r="6" spans="1:18" s="12" customFormat="1" ht="31.5" x14ac:dyDescent="0.25">
      <c r="A6" s="13">
        <v>5</v>
      </c>
      <c r="B6" s="14" t="s">
        <v>15</v>
      </c>
      <c r="C6" s="15" t="s">
        <v>16</v>
      </c>
      <c r="D6" s="15" t="s">
        <v>17</v>
      </c>
      <c r="E6" s="16"/>
      <c r="F6" s="16"/>
      <c r="G6" s="17"/>
      <c r="H6" s="17"/>
      <c r="I6" s="18"/>
      <c r="J6" s="19"/>
    </row>
    <row r="7" spans="1:18" s="12" customFormat="1" ht="47.25" x14ac:dyDescent="0.25">
      <c r="A7" s="13">
        <v>7</v>
      </c>
      <c r="B7" s="14" t="s">
        <v>15</v>
      </c>
      <c r="C7" s="15" t="s">
        <v>18</v>
      </c>
      <c r="D7" s="15" t="s">
        <v>19</v>
      </c>
      <c r="E7" s="16"/>
      <c r="F7" s="16"/>
      <c r="G7" s="17"/>
      <c r="H7" s="17"/>
      <c r="I7" s="18"/>
      <c r="J7" s="19"/>
    </row>
    <row r="8" spans="1:18" s="12" customFormat="1" ht="63" x14ac:dyDescent="0.25">
      <c r="A8" s="13">
        <v>8</v>
      </c>
      <c r="B8" s="14" t="s">
        <v>10</v>
      </c>
      <c r="C8" s="15" t="s">
        <v>20</v>
      </c>
      <c r="D8" s="15" t="s">
        <v>21</v>
      </c>
      <c r="E8" s="16"/>
      <c r="F8" s="16"/>
      <c r="G8" s="17"/>
      <c r="H8" s="17"/>
      <c r="I8" s="18"/>
      <c r="J8" s="19"/>
    </row>
    <row r="9" spans="1:18" s="12" customFormat="1" ht="31.5" x14ac:dyDescent="0.25">
      <c r="A9" s="13">
        <v>1</v>
      </c>
      <c r="B9" s="14" t="s">
        <v>10</v>
      </c>
      <c r="C9" s="15" t="s">
        <v>11</v>
      </c>
      <c r="D9" s="15" t="s">
        <v>12</v>
      </c>
      <c r="E9" s="16"/>
      <c r="F9" s="16"/>
      <c r="G9" s="17"/>
      <c r="H9" s="17"/>
      <c r="I9" s="18"/>
      <c r="J9" s="19"/>
    </row>
    <row r="10" spans="1:18" s="12" customFormat="1" ht="63" x14ac:dyDescent="0.25">
      <c r="A10" s="13">
        <v>2</v>
      </c>
      <c r="B10" s="14" t="s">
        <v>10</v>
      </c>
      <c r="C10" s="15" t="s">
        <v>13</v>
      </c>
      <c r="D10" s="15" t="s">
        <v>14</v>
      </c>
      <c r="E10" s="16"/>
      <c r="F10" s="16"/>
      <c r="G10" s="17"/>
      <c r="H10" s="17"/>
      <c r="I10" s="18"/>
      <c r="J10" s="19"/>
    </row>
    <row r="11" spans="1:18" s="12" customFormat="1" ht="31.5" x14ac:dyDescent="0.25">
      <c r="A11" s="13">
        <v>5</v>
      </c>
      <c r="B11" s="14" t="s">
        <v>15</v>
      </c>
      <c r="C11" s="15" t="s">
        <v>16</v>
      </c>
      <c r="D11" s="15" t="s">
        <v>17</v>
      </c>
      <c r="E11" s="16"/>
      <c r="F11" s="16"/>
      <c r="G11" s="17"/>
      <c r="H11" s="17"/>
      <c r="I11" s="18"/>
      <c r="J11" s="19"/>
    </row>
    <row r="12" spans="1:18" s="12" customFormat="1" ht="47.25" x14ac:dyDescent="0.25">
      <c r="A12" s="13">
        <v>7</v>
      </c>
      <c r="B12" s="14" t="s">
        <v>15</v>
      </c>
      <c r="C12" s="15" t="s">
        <v>18</v>
      </c>
      <c r="D12" s="15" t="s">
        <v>19</v>
      </c>
      <c r="E12" s="16"/>
      <c r="F12" s="16"/>
      <c r="G12" s="17"/>
      <c r="H12" s="17"/>
      <c r="I12" s="18"/>
      <c r="J12" s="19"/>
    </row>
    <row r="13" spans="1:18" s="12" customFormat="1" ht="63" x14ac:dyDescent="0.25">
      <c r="A13" s="13">
        <v>8</v>
      </c>
      <c r="B13" s="14" t="s">
        <v>10</v>
      </c>
      <c r="C13" s="15" t="s">
        <v>20</v>
      </c>
      <c r="D13" s="15" t="s">
        <v>21</v>
      </c>
      <c r="E13" s="16"/>
      <c r="F13" s="16"/>
      <c r="G13" s="17"/>
      <c r="H13" s="17"/>
      <c r="I13" s="18"/>
      <c r="J13" s="19"/>
    </row>
  </sheetData>
  <protectedRanges>
    <protectedRange password="DDDF" sqref="A2:XFD13" name="courseadmin" securityDescriptor="O:WDG:WDD:(A;;CC;;;S-1-5-21-1065746463-197919211-1947940980-1133)(A;;CC;;;S-1-5-21-1065746463-197919211-1947940980-1272)(A;;CC;;;S-1-5-21-1065746463-197919211-1947940980-1303)(A;;CC;;;S-1-5-21-1065746463-197919211-1947940980-1127)"/>
    <protectedRange password="DDDF" sqref="A1:XFD1" name="courseadmin_1" securityDescriptor="O:WDG:WDD:(A;;CC;;;S-1-5-21-1065746463-197919211-1947940980-1133)(A;;CC;;;S-1-5-21-1065746463-197919211-1947940980-1272)(A;;CC;;;S-1-5-21-1065746463-197919211-1947940980-1303)(A;;CC;;;S-1-5-21-1065746463-197919211-1947940980-1127)"/>
  </protectedRanges>
  <mergeCells count="1">
    <mergeCell ref="A1:R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6"/>
  <sheetViews>
    <sheetView showGridLines="0" workbookViewId="0">
      <selection activeCell="B16" sqref="B16"/>
    </sheetView>
  </sheetViews>
  <sheetFormatPr defaultRowHeight="15" x14ac:dyDescent="0.25"/>
  <cols>
    <col min="2" max="2" width="18.85546875" style="44" bestFit="1" customWidth="1"/>
    <col min="3" max="3" width="18.85546875" style="43" bestFit="1" customWidth="1"/>
    <col min="4" max="4" width="10.140625" style="42" customWidth="1"/>
    <col min="5" max="8" width="5.5703125" style="42" hidden="1" customWidth="1"/>
    <col min="9" max="9" width="10.7109375" style="42" hidden="1" customWidth="1"/>
    <col min="10" max="10" width="5.140625" style="42" hidden="1" customWidth="1"/>
    <col min="11" max="11" width="10.42578125" style="42" hidden="1" customWidth="1"/>
  </cols>
  <sheetData>
    <row r="1" spans="1:22" s="65" customFormat="1" ht="39.950000000000003" customHeight="1" x14ac:dyDescent="0.35">
      <c r="A1" s="70"/>
      <c r="B1" s="69" t="str">
        <f ca="1">MID(CELL("filename",A1),FIND("]",CELL("filename",A1))+1,255)</f>
        <v>TimeTracking</v>
      </c>
      <c r="C1" s="68"/>
      <c r="D1" s="67" t="str">
        <f>[2]ProjectSummary!$D$1</f>
        <v xml:space="preserve"> -  /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</row>
    <row r="2" spans="1:22" ht="23.25" x14ac:dyDescent="0.25">
      <c r="B2" s="64"/>
    </row>
    <row r="4" spans="1:22" x14ac:dyDescent="0.25">
      <c r="B4" s="63"/>
      <c r="C4" s="62"/>
      <c r="D4" s="61"/>
      <c r="E4" s="60" t="s">
        <v>46</v>
      </c>
      <c r="F4" s="59" t="s">
        <v>45</v>
      </c>
      <c r="G4" s="59" t="s">
        <v>44</v>
      </c>
      <c r="H4" s="59" t="s">
        <v>43</v>
      </c>
      <c r="I4" s="59" t="s">
        <v>42</v>
      </c>
      <c r="J4" s="58" t="s">
        <v>41</v>
      </c>
      <c r="K4" s="58" t="s">
        <v>40</v>
      </c>
    </row>
    <row r="5" spans="1:22" s="45" customFormat="1" ht="45" x14ac:dyDescent="0.25">
      <c r="B5" s="57" t="s">
        <v>39</v>
      </c>
      <c r="C5" s="56" t="s">
        <v>38</v>
      </c>
      <c r="D5" s="55" t="s">
        <v>37</v>
      </c>
      <c r="E5" s="50">
        <v>0</v>
      </c>
      <c r="F5" s="50">
        <v>0</v>
      </c>
      <c r="G5" s="50">
        <v>0</v>
      </c>
      <c r="H5" s="50">
        <v>0</v>
      </c>
      <c r="I5" s="49">
        <f>SUM(E5:H5)</f>
        <v>0</v>
      </c>
      <c r="J5" s="48">
        <v>0</v>
      </c>
      <c r="K5" s="47">
        <f>J5-I5</f>
        <v>0</v>
      </c>
      <c r="N5" s="46"/>
    </row>
    <row r="6" spans="1:22" s="45" customFormat="1" ht="15" hidden="1" customHeight="1" x14ac:dyDescent="0.25">
      <c r="B6" s="54">
        <v>42648.691388888888</v>
      </c>
      <c r="C6" s="53">
        <v>42648.691388888888</v>
      </c>
      <c r="D6" s="52">
        <v>0</v>
      </c>
      <c r="E6" s="51">
        <v>0</v>
      </c>
      <c r="F6" s="50">
        <v>0</v>
      </c>
      <c r="G6" s="50">
        <v>0</v>
      </c>
      <c r="H6" s="50">
        <v>0</v>
      </c>
      <c r="I6" s="49">
        <v>-1</v>
      </c>
      <c r="J6" s="48">
        <v>0</v>
      </c>
      <c r="K6" s="47">
        <f>J6-I6</f>
        <v>1</v>
      </c>
      <c r="N6" s="46"/>
    </row>
  </sheetData>
  <sheetProtection algorithmName="SHA-512" hashValue="z1j6FRL9NJFvTSYAZDZguDY302DWWgasl8CI16cDsdd9vmdl5Dt2ltDgD/GZvHAqtUHUdRS8teTFWi5RxygwJA==" saltValue="40u3GnvA++gZIORr9AY7AQ==" spinCount="100000" sheet="1" objects="1" scenarios="1" selectLockedCells="1" sort="0" autoFilter="0"/>
  <protectedRanges>
    <protectedRange password="DDDF" sqref="A1:XFD1048575" name="timetracking" securityDescriptor="O:WDG:WDD:(A;;CC;;;S-1-5-21-1065746463-197919211-1947940980-1133)(A;;CC;;;S-1-5-21-1065746463-197919211-1947940980-1272)(A;;CC;;;S-1-5-21-1065746463-197919211-1947940980-1303)(A;;CC;;;S-1-5-21-1065746463-197919211-1947940980-1127)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StartStopTask">
          <controlPr autoLine="0" altText="Start/Stop Text" r:id="rId5">
            <anchor moveWithCells="1">
              <from>
                <xdr:col>0</xdr:col>
                <xdr:colOff>590550</xdr:colOff>
                <xdr:row>2</xdr:row>
                <xdr:rowOff>0</xdr:rowOff>
              </from>
              <to>
                <xdr:col>11</xdr:col>
                <xdr:colOff>0</xdr:colOff>
                <xdr:row>4</xdr:row>
                <xdr:rowOff>38100</xdr:rowOff>
              </to>
            </anchor>
          </controlPr>
        </control>
      </mc:Choice>
      <mc:Fallback>
        <control shapeId="4097" r:id="rId4" name="StartStopTask"/>
      </mc:Fallback>
    </mc:AlternateContent>
    <mc:AlternateContent xmlns:mc="http://schemas.openxmlformats.org/markup-compatibility/2006">
      <mc:Choice Requires="x14">
        <control shapeId="4098" r:id="rId6" name="ResetTimeTrackingSheet">
          <controlPr autoLine="0" r:id="rId7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ResetTimeTracking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4"/>
  <sheetViews>
    <sheetView showGridLines="0" workbookViewId="0">
      <selection activeCell="D50" sqref="D50"/>
    </sheetView>
  </sheetViews>
  <sheetFormatPr defaultRowHeight="15" x14ac:dyDescent="0.25"/>
  <cols>
    <col min="2" max="2" width="20.42578125" style="74" bestFit="1" customWidth="1"/>
    <col min="4" max="4" width="20.7109375" customWidth="1"/>
    <col min="6" max="6" width="16.7109375" customWidth="1"/>
    <col min="8" max="8" width="19.42578125" customWidth="1"/>
  </cols>
  <sheetData>
    <row r="2" spans="2:12" x14ac:dyDescent="0.25">
      <c r="B2" s="71" t="s">
        <v>47</v>
      </c>
    </row>
    <row r="3" spans="2:12" x14ac:dyDescent="0.25">
      <c r="B3" s="72" t="s">
        <v>48</v>
      </c>
    </row>
    <row r="4" spans="2:12" x14ac:dyDescent="0.25">
      <c r="B4" s="72" t="s">
        <v>49</v>
      </c>
    </row>
    <row r="5" spans="2:12" s="40" customFormat="1" x14ac:dyDescent="0.25">
      <c r="B5" s="72" t="s">
        <v>50</v>
      </c>
    </row>
    <row r="6" spans="2:12" s="40" customFormat="1" x14ac:dyDescent="0.25">
      <c r="B6" s="72" t="s">
        <v>51</v>
      </c>
    </row>
    <row r="7" spans="2:12" s="40" customFormat="1" x14ac:dyDescent="0.25">
      <c r="B7" s="72" t="s">
        <v>52</v>
      </c>
    </row>
    <row r="8" spans="2:12" s="40" customFormat="1" x14ac:dyDescent="0.25">
      <c r="B8" s="72" t="s">
        <v>53</v>
      </c>
    </row>
    <row r="9" spans="2:12" s="40" customFormat="1" x14ac:dyDescent="0.25">
      <c r="B9" s="73" t="s">
        <v>54</v>
      </c>
    </row>
    <row r="10" spans="2:12" s="40" customFormat="1" x14ac:dyDescent="0.25">
      <c r="B10" s="73" t="s">
        <v>35</v>
      </c>
    </row>
    <row r="11" spans="2:12" s="40" customFormat="1" x14ac:dyDescent="0.25">
      <c r="B11" s="73" t="s">
        <v>55</v>
      </c>
    </row>
    <row r="12" spans="2:12" s="40" customFormat="1" x14ac:dyDescent="0.25">
      <c r="B12" s="72"/>
    </row>
    <row r="13" spans="2:12" s="40" customFormat="1" x14ac:dyDescent="0.25">
      <c r="B13" s="71" t="s">
        <v>56</v>
      </c>
    </row>
    <row r="14" spans="2:12" x14ac:dyDescent="0.25">
      <c r="B14" s="72" t="s">
        <v>57</v>
      </c>
      <c r="L14" s="72"/>
    </row>
    <row r="15" spans="2:12" x14ac:dyDescent="0.25">
      <c r="B15" s="72" t="s">
        <v>58</v>
      </c>
    </row>
    <row r="16" spans="2:12" x14ac:dyDescent="0.25">
      <c r="B16" s="72" t="s">
        <v>59</v>
      </c>
    </row>
    <row r="18" spans="2:2" x14ac:dyDescent="0.25">
      <c r="B18" s="71" t="s">
        <v>60</v>
      </c>
    </row>
    <row r="19" spans="2:2" x14ac:dyDescent="0.25">
      <c r="B19" s="40" t="s">
        <v>61</v>
      </c>
    </row>
    <row r="20" spans="2:2" x14ac:dyDescent="0.25">
      <c r="B20" s="40" t="s">
        <v>62</v>
      </c>
    </row>
    <row r="21" spans="2:2" x14ac:dyDescent="0.25">
      <c r="B21" s="40" t="s">
        <v>63</v>
      </c>
    </row>
    <row r="23" spans="2:2" x14ac:dyDescent="0.25">
      <c r="B23" s="71" t="s">
        <v>64</v>
      </c>
    </row>
    <row r="24" spans="2:2" x14ac:dyDescent="0.25">
      <c r="B24" s="74" t="s">
        <v>65</v>
      </c>
    </row>
    <row r="25" spans="2:2" x14ac:dyDescent="0.25">
      <c r="B25" s="74" t="s">
        <v>66</v>
      </c>
    </row>
    <row r="27" spans="2:2" x14ac:dyDescent="0.25">
      <c r="B27" s="71" t="s">
        <v>67</v>
      </c>
    </row>
    <row r="28" spans="2:2" x14ac:dyDescent="0.25">
      <c r="B28" s="74" t="s">
        <v>68</v>
      </c>
    </row>
    <row r="29" spans="2:2" x14ac:dyDescent="0.25">
      <c r="B29" s="74" t="s">
        <v>69</v>
      </c>
    </row>
    <row r="30" spans="2:2" x14ac:dyDescent="0.25">
      <c r="B30" s="74" t="s">
        <v>70</v>
      </c>
    </row>
    <row r="31" spans="2:2" x14ac:dyDescent="0.25">
      <c r="B31" s="74" t="s">
        <v>71</v>
      </c>
    </row>
    <row r="32" spans="2:2" x14ac:dyDescent="0.25">
      <c r="B32" s="74" t="s">
        <v>72</v>
      </c>
    </row>
    <row r="33" spans="2:8" x14ac:dyDescent="0.25">
      <c r="B33" s="74" t="s">
        <v>73</v>
      </c>
    </row>
    <row r="34" spans="2:8" x14ac:dyDescent="0.25">
      <c r="B34" s="74" t="s">
        <v>74</v>
      </c>
    </row>
    <row r="35" spans="2:8" x14ac:dyDescent="0.25">
      <c r="B35" s="74" t="s">
        <v>75</v>
      </c>
    </row>
    <row r="36" spans="2:8" x14ac:dyDescent="0.25">
      <c r="B36" s="74" t="s">
        <v>76</v>
      </c>
    </row>
    <row r="38" spans="2:8" x14ac:dyDescent="0.25">
      <c r="B38" s="71" t="s">
        <v>77</v>
      </c>
      <c r="D38" s="71" t="s">
        <v>78</v>
      </c>
      <c r="F38" s="71" t="s">
        <v>79</v>
      </c>
      <c r="H38" s="75" t="e">
        <f>CONCATENATE("Valid",LEFT([2]ProjectSummary!C6,FIND(" ",[2]ProjectSummary!C6)-1),"devs")</f>
        <v>#VALUE!</v>
      </c>
    </row>
    <row r="39" spans="2:8" x14ac:dyDescent="0.25">
      <c r="B39" s="74" t="s">
        <v>80</v>
      </c>
      <c r="D39" s="74" t="s">
        <v>81</v>
      </c>
      <c r="F39" s="74" t="s">
        <v>82</v>
      </c>
    </row>
    <row r="40" spans="2:8" x14ac:dyDescent="0.25">
      <c r="B40" s="74" t="s">
        <v>83</v>
      </c>
      <c r="D40" s="74" t="s">
        <v>84</v>
      </c>
      <c r="F40" s="74" t="s">
        <v>85</v>
      </c>
    </row>
    <row r="41" spans="2:8" x14ac:dyDescent="0.25">
      <c r="B41" s="74" t="s">
        <v>86</v>
      </c>
      <c r="D41" s="74" t="s">
        <v>83</v>
      </c>
      <c r="F41" s="74" t="s">
        <v>87</v>
      </c>
    </row>
    <row r="42" spans="2:8" x14ac:dyDescent="0.25">
      <c r="B42" s="74" t="s">
        <v>87</v>
      </c>
      <c r="D42" s="74" t="s">
        <v>87</v>
      </c>
      <c r="F42" s="74"/>
    </row>
    <row r="43" spans="2:8" x14ac:dyDescent="0.25">
      <c r="B43" s="74" t="s">
        <v>88</v>
      </c>
      <c r="D43" s="74" t="s">
        <v>88</v>
      </c>
      <c r="F43" s="74"/>
    </row>
    <row r="44" spans="2:8" x14ac:dyDescent="0.25">
      <c r="B44" s="74" t="s">
        <v>89</v>
      </c>
      <c r="D44" s="74" t="s">
        <v>90</v>
      </c>
      <c r="F44" s="74"/>
    </row>
    <row r="45" spans="2:8" x14ac:dyDescent="0.25">
      <c r="F45" s="74"/>
    </row>
    <row r="46" spans="2:8" x14ac:dyDescent="0.25">
      <c r="B46" s="71" t="s">
        <v>91</v>
      </c>
    </row>
    <row r="47" spans="2:8" x14ac:dyDescent="0.25">
      <c r="B47" s="72" t="s">
        <v>87</v>
      </c>
    </row>
    <row r="48" spans="2:8" x14ac:dyDescent="0.25">
      <c r="B48" s="74" t="s">
        <v>92</v>
      </c>
    </row>
    <row r="50" spans="2:8" x14ac:dyDescent="0.25">
      <c r="B50" s="71" t="s">
        <v>93</v>
      </c>
    </row>
    <row r="51" spans="2:8" x14ac:dyDescent="0.25">
      <c r="B51" s="74" t="s">
        <v>94</v>
      </c>
    </row>
    <row r="52" spans="2:8" x14ac:dyDescent="0.25">
      <c r="B52" s="74" t="s">
        <v>95</v>
      </c>
    </row>
    <row r="53" spans="2:8" x14ac:dyDescent="0.25">
      <c r="B53" s="74" t="s">
        <v>96</v>
      </c>
    </row>
    <row r="54" spans="2:8" x14ac:dyDescent="0.25">
      <c r="B54" s="74" t="s">
        <v>97</v>
      </c>
      <c r="H54" s="74"/>
    </row>
  </sheetData>
  <sheetProtection selectLockedCells="1" sort="0" autoFilter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ProjectSummary</vt:lpstr>
      <vt:lpstr>Sheet1</vt:lpstr>
      <vt:lpstr>Sheet2</vt:lpstr>
      <vt:lpstr>TestingDetail</vt:lpstr>
      <vt:lpstr>TimeTracking</vt:lpstr>
      <vt:lpstr>LookupValues</vt:lpstr>
      <vt:lpstr>ValidCATdevs</vt:lpstr>
      <vt:lpstr>ValidCIMdevs</vt:lpstr>
      <vt:lpstr>ValidCimFrontEndDevs</vt:lpstr>
      <vt:lpstr>ValidCLSSdevs</vt:lpstr>
      <vt:lpstr>ValidCSMs</vt:lpstr>
      <vt:lpstr>ValidEnvs</vt:lpstr>
      <vt:lpstr>ValidPhases</vt:lpstr>
      <vt:lpstr>ValidProjectTypes</vt:lpstr>
      <vt:lpstr>ValidStatus</vt:lpstr>
      <vt:lpstr>ValidTesters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Scudiero</dc:creator>
  <cp:lastModifiedBy>Dave Scudiero</cp:lastModifiedBy>
  <cp:lastPrinted>2017-06-01T20:14:01Z</cp:lastPrinted>
  <dcterms:created xsi:type="dcterms:W3CDTF">2017-05-26T18:34:15Z</dcterms:created>
  <dcterms:modified xsi:type="dcterms:W3CDTF">2017-06-01T21:25:47Z</dcterms:modified>
</cp:coreProperties>
</file>