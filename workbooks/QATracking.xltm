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ProjectSummary!$D$37:$D$39</definedName>
    <definedName name="CIM">ProjectSummary!$C$37:$C$39</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ProjectSummary!$A$1:$R$27</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LookupValues!$D$48:$D$53</definedName>
    <definedName name="ValidCIMdevs">LookupValues!$B$48:$B$53</definedName>
    <definedName name="ValidCimFrontEndDevs">LookupValues!$B$56:$B$57</definedName>
    <definedName name="ValidCLSSdevs">LookupValues!$F$48:$F$50</definedName>
    <definedName name="ValidCSMs">LookupValues!$B$37:$B$45</definedName>
    <definedName name="ValidEnvs">LookupValues!$B$13:$B$15</definedName>
    <definedName name="ValidInstanceNames">LookupValues!$B$18:$B$25</definedName>
    <definedName name="ValidPhases">LookupValues!$B$60:$B$63</definedName>
    <definedName name="ValidProjectTypes">LookupValues!$B$28:$B$30</definedName>
    <definedName name="ValidStatus">LookupValues!$B$3:$B$10</definedName>
    <definedName name="ValidTesters">LookupValues!$B$33:$B$34</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C1" i="20"/>
  <c r="A1" i="20"/>
  <c r="A5" i="20" l="1"/>
  <c r="A9" i="20" s="1"/>
  <c r="A7" i="20"/>
  <c r="A11" i="20" s="1"/>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1" i="9"/>
  <c r="C28" i="9"/>
  <c r="C22" i="9"/>
  <c r="C25" i="9"/>
  <c r="C19" i="9"/>
  <c r="A13" i="20" l="1"/>
  <c r="A7" i="16"/>
  <c r="A9" i="16"/>
  <c r="A11" i="16"/>
  <c r="A7" i="12"/>
  <c r="A9" i="12"/>
  <c r="A15" i="20" l="1"/>
  <c r="A13" i="16"/>
  <c r="A11" i="12"/>
  <c r="A13" i="12"/>
  <c r="A19" i="20" l="1"/>
  <c r="A17" i="20"/>
  <c r="A15" i="16"/>
  <c r="A15" i="12"/>
  <c r="A21" i="20" l="1"/>
  <c r="A17" i="16"/>
  <c r="A19" i="16"/>
  <c r="A17" i="12"/>
  <c r="A25" i="20" l="1"/>
  <c r="A23" i="20"/>
  <c r="A21" i="16"/>
  <c r="A23" i="16"/>
  <c r="A19" i="12"/>
  <c r="A21" i="12"/>
  <c r="A28" i="20" l="1"/>
  <c r="A26" i="16"/>
  <c r="A23" i="12"/>
  <c r="A30" i="20" l="1"/>
  <c r="A32" i="20" s="1"/>
  <c r="A34" i="20" s="1"/>
  <c r="A36" i="20" s="1"/>
  <c r="A38" i="20" s="1"/>
  <c r="A40" i="20" s="1"/>
  <c r="A42" i="20" s="1"/>
  <c r="A44" i="20" s="1"/>
  <c r="A46" i="20" s="1"/>
  <c r="A48" i="20" s="1"/>
  <c r="A50" i="20" s="1"/>
  <c r="A28" i="16"/>
  <c r="A25" i="12"/>
  <c r="A57" i="20" l="1"/>
  <c r="A52" i="20"/>
  <c r="A54" i="20" s="1"/>
  <c r="A30" i="16"/>
  <c r="A28" i="12"/>
  <c r="A59" i="20" l="1"/>
  <c r="A61" i="20" s="1"/>
  <c r="A63" i="20" s="1"/>
  <c r="A65" i="20" s="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71" i="20" l="1"/>
  <c r="A67" i="20"/>
  <c r="A69" i="20" s="1"/>
  <c r="A52" i="12"/>
  <c r="A54" i="12" s="1"/>
  <c r="A57" i="12"/>
  <c r="A59" i="12" s="1"/>
  <c r="A61" i="12" s="1"/>
  <c r="A63" i="12" s="1"/>
  <c r="A65" i="12" s="1"/>
  <c r="A73" i="20" l="1"/>
  <c r="A76" i="20" s="1"/>
  <c r="A78" i="20" s="1"/>
  <c r="A80" i="20" s="1"/>
  <c r="A67" i="12"/>
  <c r="A69" i="12" s="1"/>
  <c r="A71" i="12"/>
  <c r="A73" i="12" s="1"/>
  <c r="A76" i="12" s="1"/>
  <c r="A78" i="12" s="1"/>
  <c r="A80" i="12" s="1"/>
  <c r="A82" i="20" l="1"/>
  <c r="A84" i="20" s="1"/>
  <c r="A86" i="20"/>
  <c r="A88" i="20" s="1"/>
  <c r="A91" i="20" s="1"/>
  <c r="A93" i="20" s="1"/>
  <c r="A82" i="12"/>
  <c r="A84" i="12" s="1"/>
  <c r="A86" i="12"/>
  <c r="A95" i="20" l="1"/>
  <c r="A97" i="20" s="1"/>
  <c r="A99" i="20"/>
  <c r="A88" i="12"/>
  <c r="A91" i="12" s="1"/>
  <c r="A93" i="12" s="1"/>
  <c r="A99" i="12" l="1"/>
  <c r="A95" i="12"/>
  <c r="A97" i="12" s="1"/>
  <c r="H47" i="11" l="1"/>
  <c r="C38" i="9"/>
  <c r="C18" i="9"/>
  <c r="C23" i="9"/>
  <c r="C37" i="9"/>
  <c r="C24"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7" i="9"/>
  <c r="C26"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<sst xmlns="http://schemas.openxmlformats.org/spreadsheetml/2006/main" count="983" uniqueCount="522">
  <si>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</si>
  <si>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</si>
  <si>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</si>
  <si>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</si>
  <si>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</si>
  <si>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</si>
  <si>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</si>
  <si>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</si>
  <si>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</si>
  <si>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</si>
  <si>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</si>
  <si>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</si>
  <si>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</si>
  <si>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</si>
  <si>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</si>
  <si>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</si>
  <si>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</si>
  <si>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</si>
  <si>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</si>
  <si>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</si>
  <si>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</si>
  <si>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</si>
  <si>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</si>
  <si>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</si>
  <si>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</si>
  <si>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</si>
  <si>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</si>
  <si>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</si>
  <si>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</si>
  <si>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</si>
  <si>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</si>
  <si>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</si>
  <si>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</si>
  <si>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</si>
  <si>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</si>
  <si>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</si>
  <si>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</si>
  <si>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</si>
  <si>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</si>
  <si>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</si>
  <si>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</si>
  <si>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</si>
  <si>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</si>
  <si>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</si>
  <si>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</si>
  <si>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</si>
  <si>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</si>
  <si>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</si>
  <si>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</si>
  <si>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</si>
  <si>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</si>
  <si>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</si>
  <si>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</si>
  <si>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</si>
  <si>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</si>
  <si>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</si>
  <si>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</si>
  <si>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</si>
  <si>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</si>
  <si>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</si>
  <si>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</si>
  <si>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</si>
  <si>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</si>
  <si>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</si>
  <si>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</si>
  <si>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</si>
  <si>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</si>
  <si>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</si>
  <si>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</si>
  <si>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</si>
  <si>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</si>
  <si>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</si>
  <si>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</si>
  <si>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</si>
  <si>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</si>
  <si>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</si>
  <si>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</si>
  <si>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</si>
  <si>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</si>
  <si>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</si>
  <si>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</si>
  <si>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</si>
  <si>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</si>
  <si>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</si>
  <si>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</si>
  <si>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</si>
  <si>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</si>
  <si>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</si>
  <si>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</si>
  <si>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</si>
  <si>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</si>
  <si>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</si>
  <si>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</si>
  <si>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</si>
  <si>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</si>
  <si>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</si>
  <si>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</si>
  <si>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</si>
  <si>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</si>
  <si>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</si>
  <si>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</si>
  <si>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</si>
  <si>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</si>
  <si>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</si>
  <si>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</si>
  <si>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</si>
  <si>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</si>
  <si>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</si>
  <si>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</si>
  <si>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</si>
  <si>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</si>
  <si>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</si>
  <si>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</si>
  <si>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</si>
  <si>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</si>
  <si>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</si>
  <si>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</si>
  <si>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</si>
  <si>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</si>
  <si>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</si>
  <si>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</si>
  <si>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</si>
  <si>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</si>
  <si>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</si>
  <si>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</si>
  <si>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</si>
  <si>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</si>
  <si>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</si>
  <si>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</si>
  <si>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</si>
  <si>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</si>
  <si>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</si>
  <si>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</si>
  <si>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</si>
  <si>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</si>
  <si>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</si>
  <si>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</si>
  <si>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</si>
  <si>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</si>
  <si>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</si>
  <si>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</si>
  <si>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</si>
  <si>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</si>
  <si>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</si>
  <si>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</si>
  <si>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</si>
  <si>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</si>
  <si>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</si>
  <si>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</si>
  <si>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</si>
  <si>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</si>
  <si>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</si>
  <si>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</si>
  <si>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</si>
  <si>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</si>
  <si>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</si>
  <si>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</si>
  <si>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</si>
  <si>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</si>
  <si>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</si>
  <si>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</si>
  <si>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</si>
  <si>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</si>
  <si>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</si>
  <si>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</si>
  <si>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</si>
  <si>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</si>
  <si>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</si>
  <si>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</si>
  <si>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</si>
  <si>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</si>
  <si>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</si>
  <si>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</si>
  <si>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</si>
  <si>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</si>
  <si>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</si>
  <si>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</si>
  <si>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</si>
  <si>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</si>
  <si>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</si>
  <si>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</si>
  <si>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</si>
  <si>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</si>
  <si>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</si>
  <si>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</si>
  <si>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</si>
  <si>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</si>
  <si>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</si>
  <si>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</si>
  <si>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</si>
  <si>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</si>
  <si>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</si>
  <si>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</si>
  <si>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</si>
  <si>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</si>
  <si>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</si>
  <si>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</si>
  <si>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</si>
  <si>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</si>
  <si>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</si>
  <si>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</si>
  <si>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</si>
  <si>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</si>
  <si>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</si>
  <si>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</si>
  <si>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</si>
  <si>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</si>
  <si>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</si>
  <si>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</si>
  <si>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</si>
  <si>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</si>
  <si>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</si>
  <si>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</si>
  <si>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</si>
  <si>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</si>
  <si>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</si>
  <si>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</si>
  <si>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</si>
  <si>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</si>
  <si>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</si>
  <si>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</si>
  <si>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</si>
  <si>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</si>
  <si>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</si>
  <si>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</si>
  <si>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</si>
  <si>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</si>
  <si>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</si>
  <si>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</si>
  <si>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</si>
  <si>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</si>
  <si>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</si>
  <si>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</si>
  <si>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</si>
  <si>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</si>
  <si>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</si>
  <si>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</si>
  <si>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</si>
  <si>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</si>
  <si>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</si>
  <si>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</si>
  <si>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</si>
  <si>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</si>
  <si>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</si>
  <si>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</si>
  <si>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</si>
  <si>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</si>
  <si>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</si>
  <si>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</si>
  <si>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</si>
  <si>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</si>
  <si>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</si>
  <si>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</si>
  <si>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</si>
  <si>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</si>
  <si>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</si>
  <si>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</si>
  <si>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</si>
  <si>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</si>
  <si>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</si>
  <si>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</si>
  <si>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</si>
  <si>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</si>
  <si>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</si>
  <si>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</si>
  <si>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</si>
  <si>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</si>
  <si>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</si>
  <si>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</si>
  <si>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</si>
  <si>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</si>
  <si>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</si>
  <si>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</si>
  <si>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</si>
  <si>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</si>
  <si>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</si>
  <si>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</si>
  <si>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</si>
  <si>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</si>
  <si>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</si>
  <si>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</si>
  <si>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</si>
  <si>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</si>
  <si>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</si>
  <si>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</si>
  <si>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</si>
  <si>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</si>
  <si>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</si>
  <si>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</si>
  <si>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</si>
  <si>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</si>
  <si>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</si>
  <si>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</si>
  <si>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</si>
  <si>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</si>
  <si>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</si>
  <si>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</si>
  <si>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</si>
  <si>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</si>
  <si>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</si>
  <si>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</si>
  <si>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</si>
  <si>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</si>
  <si>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</si>
  <si>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</si>
  <si>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</si>
  <si>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</si>
  <si>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</si>
  <si>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</si>
  <si>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</si>
  <si>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</si>
  <si>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</si>
  <si>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</si>
  <si>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</si>
  <si>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</si>
  <si>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</si>
  <si>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</si>
  <si>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</si>
  <si>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</si>
  <si>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</si>
  <si>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</si>
  <si>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</si>
  <si>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</si>
  <si>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</si>
  <si>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</si>
  <si>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</si>
  <si>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</si>
  <si>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</si>
  <si>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</si>
  <si>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</si>
  <si>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</si>
  <si>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</si>
  <si>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</si>
  <si>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</si>
  <si>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</si>
  <si>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</si>
  <si>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</si>
  <si>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</si>
  <si>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</si>
  <si>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</si>
  <si>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</si>
  <si>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</si>
  <si>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</si>
  <si>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</si>
  <si>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</si>
  <si>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</si>
  <si>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</si>
  <si>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</si>
  <si>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</si>
  <si>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</si>
  <si>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</si>
  <si>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</si>
  <si>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</si>
  <si>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</si>
  <si>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</si>
  <si>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</si>
  <si>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</si>
  <si>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</si>
  <si>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</si>
  <si>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</si>
  <si>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</si>
  <si>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</si>
  <si>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</si>
  <si>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</si>
  <si>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</si>
  <si>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</si>
  <si>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</si>
  <si>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</si>
  <si>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</si>
  <si>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</si>
  <si>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</si>
  <si>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</si>
  <si>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</si>
  <si>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</si>
  <si>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</si>
  <si>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</si>
  <si>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</si>
  <si>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</si>
  <si>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</si>
  <si>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</si>
  <si>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</si>
  <si>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</si>
  <si>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</si>
  <si>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</si>
  <si>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</si>
  <si>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</si>
  <si>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</si>
  <si>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</si>
  <si>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</si>
  <si>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</si>
  <si>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</si>
  <si>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</si>
  <si>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</si>
  <si>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</si>
  <si>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</si>
  <si>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</si>
  <si>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</si>
  <si>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</si>
  <si>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</si>
  <si>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</si>
  <si>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</si>
  <si>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</si>
  <si>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</si>
  <si>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</si>
  <si>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</si>
  <si>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</si>
  <si>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</si>
  <si>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</si>
  <si>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</si>
  <si>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</si>
  <si>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</si>
  <si>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</si>
  <si>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</si>
  <si>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</si>
  <si>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</si>
  <si>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</si>
  <si>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</si>
  <si>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</si>
  <si>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</si>
  <si>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</si>
  <si>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</si>
  <si>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</si>
  <si>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</si>
  <si>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</si>
  <si>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</si>
  <si>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</si>
  <si>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</si>
  <si>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</si>
  <si>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</si>
  <si>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</si>
  <si>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</si>
  <si>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</si>
  <si>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</si>
  <si>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</si>
  <si>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</si>
  <si>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</si>
  <si>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</si>
  <si>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</si>
  <si>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</si>
  <si>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</si>
  <si>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</si>
  <si>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</si>
  <si>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</si>
  <si>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</si>
  <si>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</si>
  <si>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</si>
  <si>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</si>
  <si>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</si>
  <si>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</si>
  <si>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</si>
  <si>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</si>
  <si>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</si>
  <si>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</si>
  <si>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</si>
  <si>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</si>
  <si>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</si>
  <si>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</si>
  <si>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</si>
  <si>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</si>
  <si>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</si>
  <si>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</si>
  <si>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</si>
  <si>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</si>
  <si>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</si>
  <si>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</si>
  <si>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</si>
  <si>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</si>
  <si>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</si>
  <si>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</si>
  <si>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</si>
  <si>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</si>
  <si>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</si>
  <si>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</si>
  <si>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</si>
  <si>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</si>
  <si>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</si>
  <si>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</si>
  <si>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</si>
  <si>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</si>
  <si>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</si>
  <si>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</si>
  <si>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</si>
  <si>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</si>
  <si>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</si>
  <si>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</si>
  <si>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</si>
  <si>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</si>
  <si>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</si>
  <si>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</si>
  <si>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</si>
  <si>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</si>
  <si>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</si>
  <si>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</si>
  <si>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</si>
  <si>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</si>
  <si>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</si>
  <si>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</si>
  <si>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</si>
  <si>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</si>
  <si>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</si>
  <si>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</si>
  <si>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</si>
  <si>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</si>
  <si>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</si>
  <si>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</si>
  <si>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</si>
  <si>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</si>
  <si>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</si>
  <si>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</si>
  <si>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</si>
  <si>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</si>
  <si>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</si>
  <si>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</si>
  <si>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</si>
  <si>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</si>
  <si>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</si>
  <si>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</si>
  <si>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</si>
  <si>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</si>
  <si>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</si>
  <si>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</si>
  <si>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4.6.28</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</si>
</sst>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89">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0" fillId="0" borderId="1" xfId="0"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438933816"/>
        <c:axId val="438934208"/>
      </c:lineChart>
      <c:dateAx>
        <c:axId val="438933816"/>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34208"/>
        <c:crosses val="autoZero"/>
        <c:auto val="1"/>
        <c:lblOffset val="100"/>
        <c:baseTimeUnit val="days"/>
      </c:dateAx>
      <c:valAx>
        <c:axId val="438934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933816"/>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39"/>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521</v>
      </c>
    </row>
    <row r="2" spans="1:21" ht="15.75" thickTop="1" x14ac:dyDescent="0.25">
      <c r="A2" s="165"/>
      <c r="B2" s="163" t="str">
        <f ca="1">MID(SUBSTITUTE(CELL("filename",A1),"[",""),1,FIND("]",CELL("filename",A1))-1)</f>
        <v>S:\tools\workbooks\QATracking.xltm]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2"/>
      <c r="C3" s="282"/>
      <c r="D3" s="282"/>
      <c r="E3" s="259"/>
      <c r="F3" s="165"/>
      <c r="G3" s="165"/>
      <c r="H3" s="165"/>
      <c r="I3" s="165"/>
      <c r="J3" s="165"/>
      <c r="K3" s="165"/>
      <c r="L3" s="165"/>
      <c r="M3" s="165"/>
      <c r="N3" s="165"/>
      <c r="O3" s="165"/>
      <c r="P3" s="165"/>
      <c r="Q3" s="165"/>
      <c r="R3" s="165"/>
      <c r="S3" s="165"/>
      <c r="T3" s="165"/>
      <c r="U3" s="165"/>
    </row>
    <row r="4" spans="1:21" x14ac:dyDescent="0.25">
      <c r="A4" s="165"/>
      <c r="B4" s="168" t="s">
        <v>196</v>
      </c>
      <c r="C4" s="281"/>
      <c r="D4" s="281"/>
      <c r="E4" s="273"/>
      <c r="F4" s="165"/>
      <c r="G4" s="165"/>
      <c r="H4" s="165"/>
      <c r="I4" s="165"/>
      <c r="J4" s="165"/>
      <c r="K4" s="165"/>
      <c r="L4" s="165"/>
      <c r="M4" s="165"/>
      <c r="N4" s="165"/>
      <c r="O4" s="165"/>
      <c r="P4" s="165"/>
      <c r="Q4" s="165"/>
      <c r="R4" s="165"/>
      <c r="S4" s="165"/>
      <c r="T4" s="165"/>
      <c r="U4" s="165"/>
    </row>
    <row r="5" spans="1:21" x14ac:dyDescent="0.25">
      <c r="A5" s="165"/>
      <c r="B5" s="169" t="s">
        <v>90</v>
      </c>
      <c r="C5" s="278"/>
      <c r="D5" s="278"/>
      <c r="E5" s="273"/>
      <c r="F5" s="165"/>
      <c r="G5" s="165"/>
      <c r="H5" s="165"/>
      <c r="I5" s="165"/>
      <c r="J5" s="165"/>
      <c r="K5" s="165"/>
      <c r="L5" s="165"/>
      <c r="M5" s="165"/>
      <c r="N5" s="165"/>
      <c r="O5" s="165"/>
      <c r="P5" s="165"/>
      <c r="Q5" s="165"/>
      <c r="R5" s="165"/>
      <c r="S5" s="165"/>
      <c r="T5" s="165"/>
      <c r="U5" s="165"/>
    </row>
    <row r="6" spans="1:21" x14ac:dyDescent="0.25">
      <c r="A6" s="165"/>
      <c r="B6" s="169" t="s">
        <v>91</v>
      </c>
      <c r="C6" s="279"/>
      <c r="D6" s="279"/>
      <c r="E6" s="274"/>
      <c r="F6" s="165"/>
      <c r="G6" s="165"/>
      <c r="H6" s="165"/>
      <c r="I6" s="165"/>
      <c r="J6" s="165"/>
      <c r="K6" s="165"/>
      <c r="L6" s="165"/>
      <c r="M6" s="165"/>
      <c r="N6" s="165"/>
      <c r="O6" s="165"/>
      <c r="P6" s="165"/>
      <c r="Q6" s="165"/>
      <c r="R6" s="165"/>
      <c r="S6" s="165"/>
      <c r="T6" s="165"/>
      <c r="U6" s="165"/>
    </row>
    <row r="7" spans="1:21" x14ac:dyDescent="0.25">
      <c r="A7" s="165"/>
      <c r="B7" s="169" t="s">
        <v>189</v>
      </c>
      <c r="C7" s="281"/>
      <c r="D7" s="281"/>
      <c r="E7" s="273"/>
      <c r="F7" s="165"/>
      <c r="G7" s="165"/>
      <c r="H7" s="165"/>
      <c r="I7" s="165"/>
      <c r="J7" s="165"/>
      <c r="K7" s="165"/>
      <c r="L7" s="165"/>
      <c r="M7" s="165"/>
      <c r="N7" s="165"/>
      <c r="O7" s="165"/>
      <c r="P7" s="165"/>
      <c r="Q7" s="165"/>
      <c r="R7" s="165"/>
      <c r="S7" s="165"/>
      <c r="T7" s="165"/>
      <c r="U7" s="165"/>
    </row>
    <row r="8" spans="1:21" x14ac:dyDescent="0.25">
      <c r="A8" s="165"/>
      <c r="B8" s="169" t="s">
        <v>92</v>
      </c>
      <c r="C8" s="278"/>
      <c r="D8" s="278"/>
      <c r="E8" s="273"/>
      <c r="F8" s="165"/>
      <c r="G8" s="165"/>
      <c r="H8" s="165"/>
      <c r="I8" s="165"/>
      <c r="J8" s="165"/>
      <c r="K8" s="165"/>
      <c r="L8" s="165"/>
      <c r="M8" s="165"/>
      <c r="N8" s="165"/>
      <c r="O8" s="165"/>
      <c r="P8" s="165"/>
      <c r="Q8" s="165"/>
      <c r="R8" s="165"/>
      <c r="S8" s="165"/>
      <c r="T8" s="165"/>
      <c r="U8" s="165"/>
    </row>
    <row r="9" spans="1:21" x14ac:dyDescent="0.25">
      <c r="A9" s="165"/>
      <c r="B9" s="280"/>
      <c r="C9" s="280"/>
      <c r="D9" s="280"/>
      <c r="E9" s="260"/>
      <c r="F9" s="165"/>
      <c r="G9" s="165"/>
      <c r="H9" s="165"/>
      <c r="I9" s="165"/>
      <c r="J9" s="165"/>
      <c r="K9" s="165"/>
      <c r="L9" s="165"/>
      <c r="M9" s="165"/>
      <c r="N9" s="165"/>
      <c r="O9" s="165"/>
      <c r="P9" s="165"/>
      <c r="Q9" s="165"/>
      <c r="R9" s="165"/>
      <c r="S9" s="165"/>
      <c r="T9" s="165"/>
      <c r="U9" s="165"/>
    </row>
    <row r="10" spans="1:21" x14ac:dyDescent="0.25">
      <c r="A10" s="165"/>
      <c r="B10" s="170" t="s">
        <v>515</v>
      </c>
      <c r="C10" s="281"/>
      <c r="D10" s="281"/>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78"/>
      <c r="D11" s="278"/>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78"/>
      <c r="D12" s="278"/>
      <c r="E12" s="273"/>
      <c r="F12" s="167"/>
      <c r="G12" s="165"/>
      <c r="H12" s="165"/>
      <c r="I12" s="165"/>
      <c r="J12" s="165"/>
      <c r="K12" s="165"/>
      <c r="L12" s="165"/>
      <c r="M12" s="165"/>
      <c r="N12" s="165"/>
      <c r="O12" s="165"/>
      <c r="P12" s="165"/>
      <c r="Q12" s="165"/>
      <c r="R12" s="165"/>
      <c r="S12" s="165"/>
      <c r="T12" s="165"/>
      <c r="U12" s="165"/>
    </row>
    <row r="13" spans="1:21" x14ac:dyDescent="0.25">
      <c r="A13" s="165"/>
      <c r="B13" s="282"/>
      <c r="C13" s="282"/>
      <c r="D13" s="282"/>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6"/>
      <c r="D14" s="286"/>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8"/>
      <c r="D15" s="288"/>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7"/>
      <c r="D16" s="287"/>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2"/>
      <c r="C17" s="282"/>
      <c r="D17" s="282"/>
      <c r="E17" s="259"/>
      <c r="F17" s="167"/>
      <c r="G17" s="165"/>
      <c r="H17" s="165"/>
      <c r="I17" s="165"/>
      <c r="J17" s="165"/>
      <c r="K17" s="165"/>
      <c r="L17" s="165"/>
      <c r="M17" s="165"/>
      <c r="N17" s="165"/>
      <c r="O17" s="165"/>
      <c r="P17" s="165"/>
      <c r="Q17" s="165"/>
      <c r="R17" s="165"/>
      <c r="S17" s="165"/>
      <c r="T17" s="165"/>
      <c r="U17" s="165"/>
    </row>
    <row r="18" spans="1:21" x14ac:dyDescent="0.25">
      <c r="A18" s="165"/>
      <c r="B18" s="170"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61">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61">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1" t="s">
        <v>126</v>
      </c>
      <c r="C28" s="172" t="e">
        <f ca="1">SUM(COUNTIFS(INDIRECT("TestingDetail!E:E"),{"accept*","info*","n/a*"}))</f>
        <v>#REF!</v>
      </c>
      <c r="D28" s="175"/>
      <c r="E28" s="261"/>
      <c r="F28" s="165"/>
      <c r="G28" s="165"/>
      <c r="H28" s="165"/>
      <c r="I28" s="165"/>
      <c r="J28" s="165"/>
      <c r="K28" s="165"/>
      <c r="L28" s="165"/>
      <c r="M28" s="165"/>
      <c r="N28" s="165"/>
      <c r="O28" s="165"/>
      <c r="P28" s="165"/>
      <c r="Q28" s="165"/>
      <c r="R28" s="165"/>
      <c r="S28" s="165"/>
      <c r="T28" s="165"/>
      <c r="U28" s="165"/>
    </row>
    <row r="29" spans="1:21" s="267" customFormat="1" ht="11.25" x14ac:dyDescent="0.2">
      <c r="A29" s="264"/>
      <c r="B29" s="265"/>
      <c r="C29" s="265"/>
      <c r="D29" s="265"/>
      <c r="E29" s="266" t="s">
        <v>518</v>
      </c>
      <c r="F29" s="264"/>
      <c r="G29" s="264"/>
      <c r="H29" s="264"/>
      <c r="I29" s="264"/>
      <c r="J29" s="264"/>
      <c r="K29" s="264"/>
      <c r="L29" s="264"/>
      <c r="M29" s="264"/>
      <c r="N29" s="264"/>
      <c r="O29" s="264"/>
      <c r="P29" s="264"/>
      <c r="Q29" s="264"/>
      <c r="R29" s="264"/>
      <c r="S29" s="264"/>
      <c r="T29" s="264"/>
      <c r="U29" s="264"/>
    </row>
    <row r="30" spans="1:21" s="267" customFormat="1" ht="11.25" x14ac:dyDescent="0.2">
      <c r="A30" s="264"/>
      <c r="B30" s="268"/>
      <c r="C30" s="268"/>
      <c r="D30" s="268"/>
      <c r="E30" s="269" t="s">
        <v>519</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c r="F31" s="264"/>
      <c r="G31" s="264"/>
      <c r="H31" s="264"/>
      <c r="I31" s="264"/>
      <c r="J31" s="264"/>
      <c r="K31" s="264"/>
      <c r="L31" s="264"/>
      <c r="M31" s="264"/>
      <c r="N31" s="264"/>
      <c r="O31" s="264"/>
      <c r="P31" s="264"/>
      <c r="Q31" s="264"/>
      <c r="R31" s="264"/>
      <c r="S31" s="264"/>
      <c r="T31" s="264"/>
      <c r="U31" s="264"/>
    </row>
    <row r="32" spans="1:21" x14ac:dyDescent="0.25">
      <c r="A32" s="165"/>
      <c r="B32" s="179" t="s">
        <v>76</v>
      </c>
      <c r="C32" s="180">
        <f ca="1">SUM(ResourceUsed)/3600</f>
        <v>0</v>
      </c>
      <c r="D32" s="181"/>
      <c r="E32" s="272"/>
      <c r="F32" s="165"/>
      <c r="G32" s="165"/>
      <c r="H32" s="165"/>
      <c r="I32" s="165"/>
      <c r="J32" s="165"/>
      <c r="K32" s="165"/>
      <c r="L32" s="165"/>
      <c r="M32" s="165"/>
      <c r="N32" s="165"/>
      <c r="O32" s="165"/>
      <c r="P32" s="165"/>
      <c r="Q32" s="165"/>
      <c r="R32" s="165"/>
      <c r="S32" s="165"/>
      <c r="T32" s="165"/>
      <c r="U32" s="165"/>
    </row>
    <row r="33" spans="1:21" x14ac:dyDescent="0.25">
      <c r="A33" s="165"/>
      <c r="B33" s="179" t="s">
        <v>77</v>
      </c>
      <c r="C33" s="182">
        <f ca="1">C15-C32</f>
        <v>0</v>
      </c>
      <c r="D33" s="183"/>
      <c r="E33" s="272"/>
      <c r="F33" s="165"/>
      <c r="G33" s="165"/>
      <c r="H33" s="165"/>
      <c r="I33" s="165"/>
      <c r="J33" s="165"/>
      <c r="K33" s="165"/>
      <c r="L33" s="165"/>
      <c r="M33" s="165"/>
      <c r="N33" s="165"/>
      <c r="O33" s="165"/>
      <c r="P33" s="165"/>
      <c r="Q33" s="165"/>
      <c r="R33" s="165"/>
      <c r="S33" s="165"/>
      <c r="T33" s="165"/>
      <c r="U33" s="165"/>
    </row>
    <row r="34" spans="1:21" x14ac:dyDescent="0.25">
      <c r="A34" s="165"/>
      <c r="B34" s="282"/>
      <c r="C34" s="282"/>
      <c r="D34" s="282"/>
      <c r="E34" s="259"/>
      <c r="F34" s="165"/>
      <c r="G34" s="165"/>
      <c r="H34" s="165"/>
      <c r="I34" s="165"/>
      <c r="J34" s="165"/>
      <c r="K34" s="165"/>
      <c r="L34" s="165"/>
      <c r="M34" s="165"/>
      <c r="N34" s="165"/>
      <c r="O34" s="165"/>
      <c r="P34" s="165"/>
      <c r="Q34" s="165"/>
      <c r="R34" s="165"/>
      <c r="S34" s="165"/>
      <c r="T34" s="165"/>
      <c r="U34" s="165"/>
    </row>
    <row r="35" spans="1:21" ht="15.75" thickBot="1" x14ac:dyDescent="0.3">
      <c r="B35" s="42"/>
    </row>
    <row r="36" spans="1:21" ht="16.5" thickTop="1" thickBot="1" x14ac:dyDescent="0.3">
      <c r="A36" s="25"/>
      <c r="B36" s="255" t="s">
        <v>485</v>
      </c>
      <c r="C36" s="165"/>
      <c r="D36" s="165"/>
      <c r="E36" s="165"/>
      <c r="F36" s="25"/>
      <c r="I36" s="283" t="s">
        <v>488</v>
      </c>
      <c r="J36" s="284"/>
      <c r="K36" s="284"/>
      <c r="L36" s="284"/>
      <c r="M36" s="284"/>
      <c r="N36" s="284"/>
      <c r="O36" s="284"/>
      <c r="P36" s="285"/>
    </row>
    <row r="37" spans="1:21" ht="15.75" thickTop="1" x14ac:dyDescent="0.25">
      <c r="A37" s="25"/>
      <c r="B37" s="256" t="s">
        <v>486</v>
      </c>
      <c r="C37" s="257" t="e">
        <f ca="1">COUNTIF(INDIRECT("TestingDetail!E:E"),"Failed"&amp;"*")</f>
        <v>#REF!</v>
      </c>
      <c r="D37" s="165"/>
      <c r="E37" s="165"/>
      <c r="F37" s="25"/>
    </row>
    <row r="38" spans="1:21" x14ac:dyDescent="0.25">
      <c r="A38" s="25"/>
      <c r="B38" s="256" t="s">
        <v>487</v>
      </c>
      <c r="C38" s="257" t="e">
        <f ca="1">COUNTIF(INDIRECT("TestingDetail!E:E"),"Wait"&amp;"*")</f>
        <v>#REF!</v>
      </c>
      <c r="D38" s="165"/>
      <c r="E38" s="165"/>
      <c r="F38" s="25"/>
    </row>
    <row r="39" spans="1:21" x14ac:dyDescent="0.25">
      <c r="A39" s="25"/>
      <c r="B39" s="258"/>
      <c r="C39" s="165"/>
      <c r="D39" s="165"/>
      <c r="E39" s="165"/>
      <c r="F39" s="25"/>
    </row>
  </sheetData>
  <sheetProtection password="C6A2" sheet="1" objects="1" scenarios="1" selectLockedCells="1" sort="0" autoFilter="0"/>
  <protectedRanges>
    <protectedRange password="DDDF" sqref="I35:R35 A40:XFD1048576 G36:G39 S17:XFD28 H17:R28 I36:L36 N36:P36 H37:P39 R36:R39 Q36:Q37 Q39 A17:G18 H13:XFD16 A13:G16 A1:G12 H1:XFD12 A32:G35 A19:D28 F19:G28 S32:XFD39 H32:R34" name="projectsummary" securityDescriptor="O:WDG:WDD:(A;;CC;;;S-1-5-21-1065746463-197919211-1947940980-1133)(A;;CC;;;S-1-5-21-1065746463-197919211-1947940980-1272)(A;;CC;;;S-1-5-21-1065746463-197919211-1947940980-1303)(A;;CC;;;S-1-5-21-1065746463-197919211-1947940980-1127)"/>
    <protectedRange password="DDDF" sqref="A36:F39" name="projectsummary_1" securityDescriptor="O:WDG:WDD:(A;;CC;;;S-1-5-21-1065746463-197919211-1947940980-1133)(A;;CC;;;S-1-5-21-1065746463-197919211-1947940980-1272)(A;;CC;;;S-1-5-21-1065746463-197919211-1947940980-1303)(A;;CC;;;S-1-5-21-1065746463-197919211-1947940980-1127)"/>
    <protectedRange password="DDDF" sqref="E19: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s>
  <mergeCells count="17">
    <mergeCell ref="I36:P36"/>
    <mergeCell ref="C10:D10"/>
    <mergeCell ref="C8:D8"/>
    <mergeCell ref="C11:D11"/>
    <mergeCell ref="C7:D7"/>
    <mergeCell ref="B34:D34"/>
    <mergeCell ref="C12:D12"/>
    <mergeCell ref="B13:D13"/>
    <mergeCell ref="C14:D14"/>
    <mergeCell ref="C16:D16"/>
    <mergeCell ref="B17:D17"/>
    <mergeCell ref="C15:D15"/>
    <mergeCell ref="C5:D5"/>
    <mergeCell ref="C6:D6"/>
    <mergeCell ref="B9:D9"/>
    <mergeCell ref="C4:D4"/>
    <mergeCell ref="B3:D3"/>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INDIRECT(LookupValues!$H$47)</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TestingDetail-cim-genedadmin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H9 H59 H15 H17 H19 H73 H7 H30 H42 H11 H13 H88 H5">
      <formula1>ValidPhaseQualifiers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password="C6A2"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password="C6A2"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password="C6A2"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password="C6A2"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password="C6A2"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3"/>
  <sheetViews>
    <sheetView showGridLines="0" workbookViewId="0">
      <selection activeCell="B25" sqref="B25"/>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516</v>
      </c>
    </row>
    <row r="11" spans="2:12" s="48" customFormat="1" x14ac:dyDescent="0.25">
      <c r="B11" s="49"/>
    </row>
    <row r="12" spans="2:12" s="48" customFormat="1" x14ac:dyDescent="0.25">
      <c r="B12" s="47" t="s">
        <v>73</v>
      </c>
    </row>
    <row r="13" spans="2:12" x14ac:dyDescent="0.25">
      <c r="B13" s="49" t="s">
        <v>93</v>
      </c>
      <c r="L13" s="49"/>
    </row>
    <row r="14" spans="2:12" x14ac:dyDescent="0.25">
      <c r="B14" s="49" t="s">
        <v>94</v>
      </c>
    </row>
    <row r="15" spans="2:12" x14ac:dyDescent="0.25">
      <c r="B15" s="49" t="s">
        <v>95</v>
      </c>
    </row>
    <row r="17" spans="2:2" x14ac:dyDescent="0.25">
      <c r="B17" s="47" t="s">
        <v>192</v>
      </c>
    </row>
    <row r="18" spans="2:2" x14ac:dyDescent="0.25">
      <c r="B18" s="64" t="s">
        <v>481</v>
      </c>
    </row>
    <row r="19" spans="2:2" x14ac:dyDescent="0.25">
      <c r="B19" s="49" t="s">
        <v>190</v>
      </c>
    </row>
    <row r="20" spans="2:2" x14ac:dyDescent="0.25">
      <c r="B20" s="49" t="s">
        <v>191</v>
      </c>
    </row>
    <row r="21" spans="2:2" x14ac:dyDescent="0.25">
      <c r="B21" s="49" t="s">
        <v>193</v>
      </c>
    </row>
    <row r="22" spans="2:2" x14ac:dyDescent="0.25">
      <c r="B22" s="49" t="s">
        <v>194</v>
      </c>
    </row>
    <row r="23" spans="2:2" x14ac:dyDescent="0.25">
      <c r="B23" s="49" t="s">
        <v>195</v>
      </c>
    </row>
    <row r="24" spans="2:2" x14ac:dyDescent="0.25">
      <c r="B24" s="49" t="s">
        <v>520</v>
      </c>
    </row>
    <row r="25" spans="2:2" x14ac:dyDescent="0.25">
      <c r="B25" s="64" t="s">
        <v>482</v>
      </c>
    </row>
    <row r="27" spans="2:2" x14ac:dyDescent="0.25">
      <c r="B27" s="47" t="s">
        <v>96</v>
      </c>
    </row>
    <row r="28" spans="2:2" x14ac:dyDescent="0.25">
      <c r="B28" s="48" t="s">
        <v>97</v>
      </c>
    </row>
    <row r="29" spans="2:2" x14ac:dyDescent="0.25">
      <c r="B29" s="48" t="s">
        <v>489</v>
      </c>
    </row>
    <row r="30" spans="2:2" x14ac:dyDescent="0.25">
      <c r="B30" s="48" t="s">
        <v>98</v>
      </c>
    </row>
    <row r="32" spans="2:2" x14ac:dyDescent="0.25">
      <c r="B32" s="47" t="s">
        <v>101</v>
      </c>
    </row>
    <row r="33" spans="2:8" x14ac:dyDescent="0.25">
      <c r="B33" s="9" t="s">
        <v>119</v>
      </c>
    </row>
    <row r="34" spans="2:8" x14ac:dyDescent="0.25">
      <c r="B34" s="9" t="s">
        <v>102</v>
      </c>
    </row>
    <row r="36" spans="2:8" x14ac:dyDescent="0.25">
      <c r="B36" s="47" t="s">
        <v>103</v>
      </c>
    </row>
    <row r="37" spans="2:8" x14ac:dyDescent="0.25">
      <c r="B37" s="9" t="s">
        <v>106</v>
      </c>
    </row>
    <row r="38" spans="2:8" x14ac:dyDescent="0.25">
      <c r="B38" s="9" t="s">
        <v>104</v>
      </c>
    </row>
    <row r="39" spans="2:8" x14ac:dyDescent="0.25">
      <c r="B39" s="9" t="s">
        <v>107</v>
      </c>
    </row>
    <row r="40" spans="2:8" x14ac:dyDescent="0.25">
      <c r="B40" s="9" t="s">
        <v>105</v>
      </c>
    </row>
    <row r="41" spans="2:8" x14ac:dyDescent="0.25">
      <c r="B41" s="9" t="s">
        <v>118</v>
      </c>
    </row>
    <row r="42" spans="2:8" x14ac:dyDescent="0.25">
      <c r="B42" s="9" t="s">
        <v>108</v>
      </c>
    </row>
    <row r="43" spans="2:8" x14ac:dyDescent="0.25">
      <c r="B43" s="9" t="s">
        <v>109</v>
      </c>
    </row>
    <row r="44" spans="2:8" x14ac:dyDescent="0.25">
      <c r="B44" s="9" t="s">
        <v>492</v>
      </c>
    </row>
    <row r="45" spans="2:8" x14ac:dyDescent="0.25">
      <c r="B45" s="9" t="s">
        <v>110</v>
      </c>
    </row>
    <row r="47" spans="2:8" x14ac:dyDescent="0.25">
      <c r="B47" s="47" t="s">
        <v>111</v>
      </c>
      <c r="D47" s="47" t="s">
        <v>476</v>
      </c>
      <c r="F47" s="47" t="s">
        <v>483</v>
      </c>
      <c r="H47" s="240" t="e">
        <f>CONCATENATE("Valid",LEFT(ProjectSummary!C7,FIND(" ",ProjectSummary!C7)-1),"devs")</f>
        <v>#VALUE!</v>
      </c>
    </row>
    <row r="48" spans="2:8" x14ac:dyDescent="0.25">
      <c r="B48" s="9" t="s">
        <v>117</v>
      </c>
      <c r="D48" s="9" t="s">
        <v>478</v>
      </c>
      <c r="F48" s="9" t="s">
        <v>479</v>
      </c>
    </row>
    <row r="49" spans="2:8" x14ac:dyDescent="0.25">
      <c r="B49" s="9" t="s">
        <v>114</v>
      </c>
      <c r="D49" s="9" t="s">
        <v>477</v>
      </c>
      <c r="F49" s="9" t="s">
        <v>484</v>
      </c>
    </row>
    <row r="50" spans="2:8" x14ac:dyDescent="0.25">
      <c r="B50" s="9" t="s">
        <v>113</v>
      </c>
      <c r="D50" s="9" t="s">
        <v>114</v>
      </c>
      <c r="F50" s="9" t="s">
        <v>491</v>
      </c>
    </row>
    <row r="51" spans="2:8" x14ac:dyDescent="0.25">
      <c r="B51" s="9" t="s">
        <v>491</v>
      </c>
      <c r="D51" s="9" t="s">
        <v>491</v>
      </c>
      <c r="F51" s="9"/>
    </row>
    <row r="52" spans="2:8" x14ac:dyDescent="0.25">
      <c r="B52" s="9" t="s">
        <v>112</v>
      </c>
      <c r="D52" s="9" t="s">
        <v>112</v>
      </c>
      <c r="F52" s="9"/>
    </row>
    <row r="53" spans="2:8" x14ac:dyDescent="0.25">
      <c r="B53" s="9" t="s">
        <v>115</v>
      </c>
      <c r="D53" s="9" t="s">
        <v>480</v>
      </c>
      <c r="F53" s="9"/>
    </row>
    <row r="54" spans="2:8" x14ac:dyDescent="0.25">
      <c r="F54" s="9"/>
    </row>
    <row r="55" spans="2:8" x14ac:dyDescent="0.25">
      <c r="B55" s="47" t="s">
        <v>59</v>
      </c>
    </row>
    <row r="56" spans="2:8" x14ac:dyDescent="0.25">
      <c r="B56" s="49" t="s">
        <v>491</v>
      </c>
    </row>
    <row r="57" spans="2:8" x14ac:dyDescent="0.25">
      <c r="B57" s="9" t="s">
        <v>116</v>
      </c>
    </row>
    <row r="59" spans="2:8" x14ac:dyDescent="0.25">
      <c r="B59" s="47" t="s">
        <v>201</v>
      </c>
    </row>
    <row r="60" spans="2:8" x14ac:dyDescent="0.25">
      <c r="B60" s="9" t="s">
        <v>198</v>
      </c>
    </row>
    <row r="61" spans="2:8" x14ac:dyDescent="0.25">
      <c r="B61" s="9" t="s">
        <v>199</v>
      </c>
    </row>
    <row r="62" spans="2:8" x14ac:dyDescent="0.25">
      <c r="B62" s="9" t="s">
        <v>200</v>
      </c>
    </row>
    <row r="63" spans="2:8" x14ac:dyDescent="0.25">
      <c r="B63" s="9" t="s">
        <v>99</v>
      </c>
      <c r="H63" s="9"/>
    </row>
  </sheetData>
  <sheetProtection password="C6A2"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David G. Scudiero</cp:lastModifiedBy>
  <cp:lastPrinted>2016-08-01T19:03:20Z</cp:lastPrinted>
  <dcterms:created xsi:type="dcterms:W3CDTF">2014-08-25T15:26:04Z</dcterms:created>
  <dcterms:modified xsi:type="dcterms:W3CDTF">2017-03-16T15:21:50Z</dcterms:modified>
</cp:coreProperties>
</file>