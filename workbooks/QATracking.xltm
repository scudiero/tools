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ProjectSummary!$D$38:$D$40</definedName>
    <definedName name="CIM">ProjectSummary!$C$38:$C$40</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C40" i="9"/>
  <c r="C28"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1" i="9"/>
  <c r="C29" i="9"/>
  <c r="C19" i="9"/>
  <c r="C25" i="9"/>
  <c r="C22"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39" i="9"/>
  <c r="C23" i="9"/>
  <c r="C24" i="9"/>
  <c r="C18" i="9"/>
  <c r="C38"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7"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<sst xmlns="http://schemas.openxmlformats.org/spreadsheetml/2006/main" count="986" uniqueCount="523">
  <si>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</si>
  <si>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</si>
  <si>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</si>
  <si>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</si>
  <si>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</si>
  <si>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</si>
  <si>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</si>
  <si>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</si>
  <si>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</si>
  <si>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</si>
  <si>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</si>
  <si>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</si>
  <si>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</si>
  <si>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</si>
  <si>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</si>
  <si>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</si>
  <si>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</si>
  <si>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</si>
  <si>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</si>
  <si>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</si>
  <si>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</si>
  <si>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</si>
  <si>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</si>
  <si>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</si>
  <si>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</si>
  <si>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</si>
  <si>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</si>
  <si>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</si>
  <si>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</si>
  <si>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</si>
  <si>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</si>
  <si>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</si>
  <si>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</si>
  <si>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</si>
  <si>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</si>
  <si>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</si>
  <si>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</si>
  <si>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</si>
  <si>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</si>
  <si>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</si>
  <si>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</si>
  <si>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</si>
  <si>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</si>
  <si>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</si>
  <si>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</si>
  <si>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</si>
  <si>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</si>
  <si>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</si>
  <si>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</si>
  <si>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</si>
  <si>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</si>
  <si>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</si>
  <si>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</si>
  <si>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</si>
  <si>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</si>
  <si>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</si>
  <si>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</si>
  <si>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</si>
  <si>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</si>
  <si>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</si>
  <si>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</si>
  <si>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</si>
  <si>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</si>
  <si>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</si>
  <si>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</si>
  <si>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</si>
  <si>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</si>
  <si>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</si>
  <si>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</si>
  <si>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</si>
  <si>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</si>
  <si>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</si>
  <si>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</si>
  <si>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</si>
  <si>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</si>
  <si>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</si>
  <si>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</si>
  <si>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</si>
  <si>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</si>
  <si>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</si>
  <si>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</si>
  <si>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</si>
  <si>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</si>
  <si>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</si>
  <si>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</si>
  <si>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</si>
  <si>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</si>
  <si>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</si>
  <si>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</si>
  <si>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</si>
  <si>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</si>
  <si>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</si>
  <si>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</si>
  <si>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</si>
  <si>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</si>
  <si>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</si>
  <si>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</si>
  <si>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</si>
  <si>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</si>
  <si>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</si>
  <si>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</si>
  <si>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</si>
  <si>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</si>
  <si>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</si>
  <si>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</si>
  <si>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</si>
  <si>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</si>
  <si>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</si>
  <si>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</si>
  <si>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</si>
  <si>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</si>
  <si>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</si>
  <si>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</si>
  <si>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</si>
  <si>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</si>
  <si>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</si>
  <si>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</si>
  <si>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</si>
  <si>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</si>
  <si>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</si>
  <si>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</si>
  <si>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</si>
  <si>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</si>
  <si>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</si>
  <si>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</si>
  <si>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</si>
  <si>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</si>
  <si>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</si>
  <si>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</si>
  <si>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</si>
  <si>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</si>
  <si>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</si>
  <si>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</si>
  <si>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</si>
  <si>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</si>
  <si>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</si>
  <si>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</si>
  <si>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</si>
  <si>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</si>
  <si>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</si>
  <si>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</si>
  <si>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</si>
  <si>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</si>
  <si>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</si>
  <si>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</si>
  <si>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</si>
  <si>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</si>
  <si>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</si>
  <si>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</si>
  <si>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</si>
  <si>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</si>
  <si>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</si>
  <si>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</si>
  <si>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</si>
  <si>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</si>
  <si>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</si>
  <si>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</si>
  <si>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</si>
  <si>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</si>
  <si>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</si>
  <si>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</si>
  <si>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</si>
  <si>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</si>
  <si>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</si>
  <si>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</si>
  <si>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</si>
  <si>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</si>
  <si>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</si>
  <si>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</si>
  <si>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</si>
  <si>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</si>
  <si>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</si>
  <si>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</si>
  <si>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</si>
  <si>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</si>
  <si>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</si>
  <si>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</si>
  <si>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</si>
  <si>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</si>
  <si>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</si>
  <si>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</si>
  <si>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</si>
  <si>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</si>
  <si>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</si>
  <si>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</si>
  <si>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</si>
  <si>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</si>
  <si>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</si>
  <si>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</si>
  <si>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</si>
  <si>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</si>
  <si>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</si>
  <si>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</si>
  <si>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</si>
  <si>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</si>
  <si>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</si>
  <si>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</si>
  <si>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</si>
  <si>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</si>
  <si>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</si>
  <si>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</si>
  <si>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</si>
  <si>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</si>
  <si>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</si>
  <si>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</si>
  <si>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</si>
  <si>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</si>
  <si>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</si>
  <si>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</si>
  <si>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</si>
  <si>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</si>
  <si>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</si>
  <si>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</si>
  <si>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</si>
  <si>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</si>
  <si>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</si>
  <si>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</si>
  <si>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</si>
  <si>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</si>
  <si>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</si>
  <si>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</si>
  <si>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</si>
  <si>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</si>
  <si>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</si>
  <si>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</si>
  <si>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</si>
  <si>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</si>
  <si>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</si>
  <si>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</si>
  <si>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</si>
  <si>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</si>
  <si>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</si>
  <si>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</si>
  <si>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</si>
  <si>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</si>
  <si>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</si>
  <si>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</si>
  <si>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</si>
  <si>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</si>
  <si>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</si>
  <si>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</si>
  <si>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</si>
  <si>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</si>
  <si>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</si>
  <si>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</si>
  <si>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</si>
  <si>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</si>
  <si>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</si>
  <si>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</si>
  <si>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</si>
  <si>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</si>
  <si>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</si>
  <si>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</si>
  <si>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</si>
  <si>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</si>
  <si>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</si>
  <si>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</si>
  <si>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</si>
  <si>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</si>
  <si>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</si>
  <si>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</si>
  <si>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</si>
  <si>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</si>
  <si>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</si>
  <si>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</si>
  <si>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</si>
  <si>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</si>
  <si>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</si>
  <si>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</si>
  <si>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</si>
  <si>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</si>
  <si>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</si>
  <si>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</si>
  <si>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</si>
  <si>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</si>
  <si>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</si>
  <si>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</si>
  <si>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</si>
  <si>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</si>
  <si>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</si>
  <si>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</si>
  <si>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</si>
  <si>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</si>
  <si>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</si>
  <si>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</si>
  <si>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</si>
  <si>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</si>
  <si>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</si>
  <si>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</si>
  <si>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</si>
  <si>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</si>
  <si>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</si>
  <si>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</si>
  <si>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</si>
  <si>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</si>
  <si>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</si>
  <si>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</si>
  <si>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</si>
  <si>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</si>
  <si>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</si>
  <si>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</si>
  <si>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</si>
  <si>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</si>
  <si>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</si>
  <si>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</si>
  <si>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</si>
  <si>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</si>
  <si>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</si>
  <si>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</si>
  <si>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</si>
  <si>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</si>
  <si>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</si>
  <si>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</si>
  <si>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</si>
  <si>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</si>
  <si>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</si>
  <si>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</si>
  <si>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</si>
  <si>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</si>
  <si>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</si>
  <si>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</si>
  <si>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</si>
  <si>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</si>
  <si>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</si>
  <si>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</si>
  <si>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</si>
  <si>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</si>
  <si>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</si>
  <si>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</si>
  <si>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</si>
  <si>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</si>
  <si>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</si>
  <si>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</si>
  <si>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</si>
  <si>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</si>
  <si>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</si>
  <si>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</si>
  <si>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</si>
  <si>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</si>
  <si>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</si>
  <si>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</si>
  <si>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</si>
  <si>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</si>
  <si>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</si>
  <si>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</si>
  <si>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</si>
  <si>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</si>
  <si>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</si>
  <si>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</si>
  <si>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</si>
  <si>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</si>
  <si>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</si>
  <si>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</si>
  <si>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</si>
  <si>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</si>
  <si>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</si>
  <si>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</si>
  <si>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</si>
  <si>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</si>
  <si>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</si>
  <si>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</si>
  <si>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</si>
  <si>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</si>
  <si>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</si>
  <si>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</si>
  <si>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</si>
  <si>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</si>
  <si>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</si>
  <si>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</si>
  <si>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</si>
  <si>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</si>
  <si>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</si>
  <si>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</si>
  <si>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</si>
  <si>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</si>
  <si>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</si>
  <si>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</si>
  <si>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</si>
  <si>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</si>
  <si>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</si>
  <si>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</si>
  <si>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</si>
  <si>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</si>
  <si>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</si>
  <si>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</si>
  <si>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</si>
  <si>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</si>
  <si>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</si>
  <si>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</si>
  <si>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</si>
  <si>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</si>
  <si>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</si>
  <si>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</si>
  <si>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</si>
  <si>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</si>
  <si>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</si>
  <si>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</si>
  <si>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</si>
  <si>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</si>
  <si>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</si>
  <si>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</si>
  <si>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</si>
  <si>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</si>
  <si>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</si>
  <si>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</si>
  <si>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</si>
  <si>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</si>
  <si>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</si>
  <si>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</si>
  <si>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</si>
  <si>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</si>
  <si>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</si>
  <si>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</si>
  <si>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</si>
  <si>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</si>
  <si>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</si>
  <si>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</si>
  <si>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</si>
  <si>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</si>
  <si>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</si>
  <si>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</si>
  <si>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</si>
  <si>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</si>
  <si>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</si>
  <si>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</si>
  <si>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</si>
  <si>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</si>
  <si>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</si>
  <si>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</si>
  <si>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</si>
  <si>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</si>
  <si>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</si>
  <si>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</si>
  <si>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</si>
  <si>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</si>
  <si>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</si>
  <si>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</si>
  <si>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</si>
  <si>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</si>
  <si>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</si>
  <si>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</si>
  <si>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</si>
  <si>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</si>
  <si>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</si>
  <si>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</si>
  <si>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</si>
  <si>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</si>
  <si>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</si>
  <si>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</si>
  <si>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</si>
  <si>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</si>
  <si>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</si>
  <si>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</si>
  <si>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</si>
  <si>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</si>
  <si>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</si>
  <si>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</si>
  <si>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</si>
  <si>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</si>
  <si>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</si>
  <si>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</si>
  <si>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</si>
  <si>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</si>
  <si>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</si>
  <si>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</si>
  <si>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</si>
  <si>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</si>
  <si>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</si>
  <si>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</si>
  <si>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</si>
  <si>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</si>
  <si>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</si>
  <si>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</si>
  <si>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</si>
  <si>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</si>
  <si>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</si>
  <si>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</si>
  <si>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</si>
  <si>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</si>
  <si>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</si>
  <si>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</si>
  <si>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</si>
  <si>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</si>
  <si>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</si>
  <si>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</si>
  <si>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</si>
  <si>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</si>
  <si>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</si>
  <si>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</si>
  <si>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</si>
  <si>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</si>
  <si>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</si>
  <si>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</si>
  <si>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</si>
  <si>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</si>
  <si>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</si>
  <si>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</si>
  <si>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</si>
  <si>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</si>
  <si>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</si>
  <si>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</si>
  <si>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</si>
  <si>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</si>
  <si>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</si>
  <si>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</si>
  <si>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</si>
  <si>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</si>
  <si>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</si>
  <si>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</si>
  <si>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</si>
  <si>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</si>
  <si>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</si>
  <si>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</si>
  <si>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</si>
  <si>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</si>
  <si>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</si>
  <si>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</si>
  <si>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</si>
  <si>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</si>
  <si>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</si>
  <si>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</si>
  <si>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</si>
  <si>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t>4.6.30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</si>
</sst>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90">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1" fillId="0" borderId="7" xfId="0" applyFont="1" applyFill="1" applyBorder="1" applyAlignment="1" applyProtection="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422675328"/>
        <c:axId val="422675720"/>
      </c:lineChart>
      <c:dateAx>
        <c:axId val="42267532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75720"/>
        <c:crosses val="autoZero"/>
        <c:auto val="1"/>
        <c:lblOffset val="100"/>
        <c:baseTimeUnit val="days"/>
      </c:dateAx>
      <c:valAx>
        <c:axId val="422675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7532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1"/>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522</v>
      </c>
    </row>
    <row r="2" spans="1:21" ht="15.75" thickTop="1" x14ac:dyDescent="0.25">
      <c r="A2" s="165"/>
      <c r="B2" s="163" t="str">
        <f ca="1">MID(SUBSTITUTE(CELL("filename",A1),"[",""),1,FIND("]",CELL("filename",A1))-1)</f>
        <v>S:\tools\workbooks\QATracking.xltm]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3"/>
      <c r="C3" s="283"/>
      <c r="D3" s="283"/>
      <c r="E3" s="259"/>
      <c r="F3" s="165"/>
      <c r="G3" s="165"/>
      <c r="H3" s="165"/>
      <c r="I3" s="165"/>
      <c r="J3" s="165"/>
      <c r="K3" s="165"/>
      <c r="L3" s="165"/>
      <c r="M3" s="165"/>
      <c r="N3" s="165"/>
      <c r="O3" s="165"/>
      <c r="P3" s="165"/>
      <c r="Q3" s="165"/>
      <c r="R3" s="165"/>
      <c r="S3" s="165"/>
      <c r="T3" s="165"/>
      <c r="U3" s="165"/>
    </row>
    <row r="4" spans="1:21" x14ac:dyDescent="0.25">
      <c r="A4" s="165"/>
      <c r="B4" s="168" t="s">
        <v>196</v>
      </c>
      <c r="C4" s="281"/>
      <c r="D4" s="281"/>
      <c r="E4" s="273"/>
      <c r="F4" s="165"/>
      <c r="G4" s="165"/>
      <c r="H4" s="165"/>
      <c r="I4" s="165"/>
      <c r="J4" s="165"/>
      <c r="K4" s="165"/>
      <c r="L4" s="165"/>
      <c r="M4" s="165"/>
      <c r="N4" s="165"/>
      <c r="O4" s="165"/>
      <c r="P4" s="165"/>
      <c r="Q4" s="165"/>
      <c r="R4" s="165"/>
      <c r="S4" s="165"/>
      <c r="T4" s="165"/>
      <c r="U4" s="165"/>
    </row>
    <row r="5" spans="1:21" x14ac:dyDescent="0.25">
      <c r="A5" s="165"/>
      <c r="B5" s="169" t="s">
        <v>90</v>
      </c>
      <c r="C5" s="282"/>
      <c r="D5" s="282"/>
      <c r="E5" s="273"/>
      <c r="F5" s="165"/>
      <c r="G5" s="165"/>
      <c r="H5" s="165"/>
      <c r="I5" s="165"/>
      <c r="J5" s="165"/>
      <c r="K5" s="165"/>
      <c r="L5" s="165"/>
      <c r="M5" s="165"/>
      <c r="N5" s="165"/>
      <c r="O5" s="165"/>
      <c r="P5" s="165"/>
      <c r="Q5" s="165"/>
      <c r="R5" s="165"/>
      <c r="S5" s="165"/>
      <c r="T5" s="165"/>
      <c r="U5" s="165"/>
    </row>
    <row r="6" spans="1:21" x14ac:dyDescent="0.25">
      <c r="A6" s="165"/>
      <c r="B6" s="169" t="s">
        <v>91</v>
      </c>
      <c r="C6" s="287"/>
      <c r="D6" s="287"/>
      <c r="E6" s="274"/>
      <c r="F6" s="165"/>
      <c r="G6" s="165"/>
      <c r="H6" s="165"/>
      <c r="I6" s="165"/>
      <c r="J6" s="165"/>
      <c r="K6" s="165"/>
      <c r="L6" s="165"/>
      <c r="M6" s="165"/>
      <c r="N6" s="165"/>
      <c r="O6" s="165"/>
      <c r="P6" s="165"/>
      <c r="Q6" s="165"/>
      <c r="R6" s="165"/>
      <c r="S6" s="165"/>
      <c r="T6" s="165"/>
      <c r="U6" s="165"/>
    </row>
    <row r="7" spans="1:21" x14ac:dyDescent="0.25">
      <c r="A7" s="165"/>
      <c r="B7" s="169" t="s">
        <v>189</v>
      </c>
      <c r="C7" s="281"/>
      <c r="D7" s="281"/>
      <c r="E7" s="273"/>
      <c r="F7" s="165"/>
      <c r="G7" s="165"/>
      <c r="H7" s="165"/>
      <c r="I7" s="165"/>
      <c r="J7" s="165"/>
      <c r="K7" s="165"/>
      <c r="L7" s="165"/>
      <c r="M7" s="165"/>
      <c r="N7" s="165"/>
      <c r="O7" s="165"/>
      <c r="P7" s="165"/>
      <c r="Q7" s="165"/>
      <c r="R7" s="165"/>
      <c r="S7" s="165"/>
      <c r="T7" s="165"/>
      <c r="U7" s="165"/>
    </row>
    <row r="8" spans="1:21" x14ac:dyDescent="0.25">
      <c r="A8" s="165"/>
      <c r="B8" s="169" t="s">
        <v>92</v>
      </c>
      <c r="C8" s="282"/>
      <c r="D8" s="282"/>
      <c r="E8" s="273"/>
      <c r="F8" s="165"/>
      <c r="G8" s="165"/>
      <c r="H8" s="165"/>
      <c r="I8" s="165"/>
      <c r="J8" s="165"/>
      <c r="K8" s="165"/>
      <c r="L8" s="165"/>
      <c r="M8" s="165"/>
      <c r="N8" s="165"/>
      <c r="O8" s="165"/>
      <c r="P8" s="165"/>
      <c r="Q8" s="165"/>
      <c r="R8" s="165"/>
      <c r="S8" s="165"/>
      <c r="T8" s="165"/>
      <c r="U8" s="165"/>
    </row>
    <row r="9" spans="1:21" x14ac:dyDescent="0.25">
      <c r="A9" s="165"/>
      <c r="B9" s="288"/>
      <c r="C9" s="288"/>
      <c r="D9" s="288"/>
      <c r="E9" s="260"/>
      <c r="F9" s="165"/>
      <c r="G9" s="165"/>
      <c r="H9" s="165"/>
      <c r="I9" s="165"/>
      <c r="J9" s="165"/>
      <c r="K9" s="165"/>
      <c r="L9" s="165"/>
      <c r="M9" s="165"/>
      <c r="N9" s="165"/>
      <c r="O9" s="165"/>
      <c r="P9" s="165"/>
      <c r="Q9" s="165"/>
      <c r="R9" s="165"/>
      <c r="S9" s="165"/>
      <c r="T9" s="165"/>
      <c r="U9" s="165"/>
    </row>
    <row r="10" spans="1:21" x14ac:dyDescent="0.25">
      <c r="A10" s="165"/>
      <c r="B10" s="170" t="s">
        <v>515</v>
      </c>
      <c r="C10" s="281"/>
      <c r="D10" s="281"/>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82"/>
      <c r="D11" s="282"/>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82"/>
      <c r="D12" s="282"/>
      <c r="E12" s="273"/>
      <c r="F12" s="167"/>
      <c r="G12" s="165"/>
      <c r="H12" s="165"/>
      <c r="I12" s="165"/>
      <c r="J12" s="165"/>
      <c r="K12" s="165"/>
      <c r="L12" s="165"/>
      <c r="M12" s="165"/>
      <c r="N12" s="165"/>
      <c r="O12" s="165"/>
      <c r="P12" s="165"/>
      <c r="Q12" s="165"/>
      <c r="R12" s="165"/>
      <c r="S12" s="165"/>
      <c r="T12" s="165"/>
      <c r="U12" s="165"/>
    </row>
    <row r="13" spans="1:21" x14ac:dyDescent="0.25">
      <c r="A13" s="165"/>
      <c r="B13" s="283"/>
      <c r="C13" s="283"/>
      <c r="D13" s="283"/>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4"/>
      <c r="D14" s="284"/>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6"/>
      <c r="D15" s="286"/>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5"/>
      <c r="D16" s="285"/>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3"/>
      <c r="C17" s="283"/>
      <c r="D17" s="283"/>
      <c r="E17" s="259"/>
      <c r="F17" s="167"/>
      <c r="G17" s="165"/>
      <c r="H17" s="165"/>
      <c r="I17" s="165"/>
      <c r="J17" s="165"/>
      <c r="K17" s="165"/>
      <c r="L17" s="165"/>
      <c r="M17" s="165"/>
      <c r="N17" s="165"/>
      <c r="O17" s="165"/>
      <c r="P17" s="165"/>
      <c r="Q17" s="165"/>
      <c r="R17" s="165"/>
      <c r="S17" s="165"/>
      <c r="T17" s="165"/>
      <c r="U17" s="165"/>
    </row>
    <row r="18" spans="1:21" x14ac:dyDescent="0.25">
      <c r="A18" s="165"/>
      <c r="B18" s="289"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x14ac:dyDescent="0.25">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x14ac:dyDescent="0.25">
      <c r="A35" s="165"/>
      <c r="B35" s="283"/>
      <c r="C35" s="283"/>
      <c r="D35" s="283"/>
      <c r="E35" s="259"/>
      <c r="F35" s="165"/>
      <c r="G35" s="165"/>
      <c r="H35" s="165"/>
      <c r="I35" s="165"/>
      <c r="J35" s="165"/>
      <c r="K35" s="165"/>
      <c r="L35" s="165"/>
      <c r="M35" s="165"/>
      <c r="N35" s="165"/>
      <c r="O35" s="165"/>
      <c r="P35" s="165"/>
      <c r="Q35" s="165"/>
      <c r="R35" s="165"/>
      <c r="S35" s="165"/>
      <c r="T35" s="165"/>
      <c r="U35" s="165"/>
    </row>
    <row r="36" spans="1:21" ht="15.75" thickBot="1" x14ac:dyDescent="0.3">
      <c r="B36" s="42"/>
    </row>
    <row r="37" spans="1:21" ht="16.5" thickTop="1" thickBot="1" x14ac:dyDescent="0.3">
      <c r="A37" s="25"/>
      <c r="B37" s="255" t="s">
        <v>485</v>
      </c>
      <c r="C37" s="165"/>
      <c r="D37" s="165"/>
      <c r="E37" s="165"/>
      <c r="F37" s="25"/>
      <c r="I37" s="278" t="s">
        <v>488</v>
      </c>
      <c r="J37" s="279"/>
      <c r="K37" s="279"/>
      <c r="L37" s="279"/>
      <c r="M37" s="279"/>
      <c r="N37" s="279"/>
      <c r="O37" s="279"/>
      <c r="P37" s="280"/>
    </row>
    <row r="38" spans="1:21" ht="15.75" thickTop="1" x14ac:dyDescent="0.25">
      <c r="A38" s="25"/>
      <c r="B38" s="256" t="s">
        <v>486</v>
      </c>
      <c r="C38" s="257" t="e">
        <f ca="1">COUNTIF(INDIRECT("TestingDetail!E:E"),"Failed"&amp;"*")</f>
        <v>#REF!</v>
      </c>
      <c r="D38" s="165"/>
      <c r="E38" s="165"/>
      <c r="F38" s="25"/>
    </row>
    <row r="39" spans="1:21" x14ac:dyDescent="0.25">
      <c r="A39" s="25"/>
      <c r="B39" s="256" t="s">
        <v>487</v>
      </c>
      <c r="C39" s="257" t="e">
        <f ca="1">COUNTIF(INDIRECT("TestingDetail!E:E"),"Wait"&amp;"*")</f>
        <v>#REF!</v>
      </c>
      <c r="D39" s="165"/>
      <c r="E39" s="165"/>
      <c r="F39" s="25"/>
    </row>
    <row r="40" spans="1:21" x14ac:dyDescent="0.25">
      <c r="A40" s="25"/>
      <c r="B40" s="256" t="s">
        <v>521</v>
      </c>
      <c r="C40" s="257" t="e">
        <f ca="1">COUNTIF(INDIRECT("TestingDetail!E:E"),"Blocked")</f>
        <v>#REF!</v>
      </c>
      <c r="D40" s="165"/>
      <c r="E40" s="165"/>
      <c r="F40" s="25"/>
    </row>
    <row r="41" spans="1:21" x14ac:dyDescent="0.25">
      <c r="B41" s="258"/>
      <c r="C41" s="164"/>
      <c r="D41" s="164"/>
      <c r="E41" s="164"/>
    </row>
  </sheetData>
  <sheetProtection password="C6A2" sheet="1" objects="1" scenarios="1" selectLockedCells="1" sort="0" autoFilter="0"/>
  <protectedRanges>
    <protectedRange password="DDDF" sqref="I36:R36 A41:XFD1048576 G37:G40 H17:XFD29 I37:L37 N37:P37 H38:P40 R37:R40 Q37:Q38 Q40 A17:G18 A1:XFD16 A33:G36 F19:G29 S33:XFD40 H33:R35 A19:D29" name="projectsummary" securityDescriptor="O:WDG:WDD:(A;;CC;;;S-1-5-21-1065746463-197919211-1947940980-1133)(A;;CC;;;S-1-5-21-1065746463-197919211-1947940980-1272)(A;;CC;;;S-1-5-21-1065746463-197919211-1947940980-1303)(A;;CC;;;S-1-5-21-1065746463-197919211-1947940980-1127)"/>
    <protectedRange password="DDDF" sqref="A37:F40"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s>
  <mergeCells count="17">
    <mergeCell ref="C5:D5"/>
    <mergeCell ref="C6:D6"/>
    <mergeCell ref="B9:D9"/>
    <mergeCell ref="C4:D4"/>
    <mergeCell ref="B3:D3"/>
    <mergeCell ref="I37:P37"/>
    <mergeCell ref="C10:D10"/>
    <mergeCell ref="C8:D8"/>
    <mergeCell ref="C11:D11"/>
    <mergeCell ref="C7:D7"/>
    <mergeCell ref="B35:D35"/>
    <mergeCell ref="C12:D12"/>
    <mergeCell ref="B13:D13"/>
    <mergeCell ref="C14:D14"/>
    <mergeCell ref="C16:D16"/>
    <mergeCell ref="B17:D17"/>
    <mergeCell ref="C15:D15"/>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password="C6A2"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password="C6A2"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password="C6A2"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password="C6A2"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password="C6A2"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password="C6A2"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David G. Scudiero</cp:lastModifiedBy>
  <cp:lastPrinted>2016-08-01T19:03:20Z</cp:lastPrinted>
  <dcterms:created xsi:type="dcterms:W3CDTF">2014-08-25T15:26:04Z</dcterms:created>
  <dcterms:modified xsi:type="dcterms:W3CDTF">2017-03-16T20:15:50Z</dcterms:modified>
</cp:coreProperties>
</file>