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ProjectSummary!$D$38:$D$40</definedName>
    <definedName name="CIM">ProjectSummary!$C$38:$C$40</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C1" i="20"/>
  <c r="A1" i="20"/>
  <c r="C28" i="9"/>
  <c r="C40"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1" i="9"/>
  <c r="C22" i="9"/>
  <c r="C19" i="9"/>
  <c r="C29" i="9"/>
  <c r="C25" i="9"/>
  <c r="D28"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24" i="9"/>
  <c r="C39" i="9"/>
  <c r="C18" i="9"/>
  <c r="C38" i="9"/>
  <c r="C23"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3" i="9"/>
  <c r="C34"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6" i="9"/>
  <c r="C27"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<sst xmlns="http://schemas.openxmlformats.org/spreadsheetml/2006/main" count="986" uniqueCount="523">
  <si>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</si>
  <si>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</si>
  <si>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</si>
  <si>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</si>
  <si>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</si>
  <si>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</si>
  <si>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</si>
  <si>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</si>
  <si>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</si>
  <si>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</si>
  <si>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</si>
  <si>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</si>
  <si>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</si>
  <si>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</si>
  <si>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</si>
  <si>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</si>
  <si>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</si>
  <si>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</si>
  <si>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</si>
  <si>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</si>
  <si>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</si>
  <si>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</si>
  <si>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</si>
  <si>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</si>
  <si>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</si>
  <si>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</si>
  <si>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</si>
  <si>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</si>
  <si>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</si>
  <si>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</si>
  <si>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</si>
  <si>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</si>
  <si>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</si>
  <si>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</si>
  <si>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</si>
  <si>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</si>
  <si>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</si>
  <si>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</si>
  <si>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</si>
  <si>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</si>
  <si>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</si>
  <si>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</si>
  <si>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</si>
  <si>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</si>
  <si>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</si>
  <si>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</si>
  <si>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</si>
  <si>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</si>
  <si>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</si>
  <si>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</si>
  <si>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</si>
  <si>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</si>
  <si>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</si>
  <si>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</si>
  <si>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</si>
  <si>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</si>
  <si>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</si>
  <si>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</si>
  <si>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</si>
  <si>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</si>
  <si>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</si>
  <si>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</si>
  <si>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</si>
  <si>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</si>
  <si>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</si>
  <si>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</si>
  <si>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</si>
  <si>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</si>
  <si>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</si>
  <si>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</si>
  <si>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</si>
  <si>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</si>
  <si>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</si>
  <si>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</si>
  <si>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</si>
  <si>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</si>
  <si>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</si>
  <si>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</si>
  <si>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</si>
  <si>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</si>
  <si>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</si>
  <si>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</si>
  <si>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</si>
  <si>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</si>
  <si>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</si>
  <si>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</si>
  <si>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</si>
  <si>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</si>
  <si>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</si>
  <si>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</si>
  <si>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</si>
  <si>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</si>
  <si>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</si>
  <si>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</si>
  <si>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</si>
  <si>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</si>
  <si>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</si>
  <si>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</si>
  <si>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</si>
  <si>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</si>
  <si>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</si>
  <si>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</si>
  <si>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</si>
  <si>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</si>
  <si>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</si>
  <si>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</si>
  <si>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</si>
  <si>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</si>
  <si>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</si>
  <si>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</si>
  <si>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</si>
  <si>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</si>
  <si>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</si>
  <si>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</si>
  <si>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</si>
  <si>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</si>
  <si>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</si>
  <si>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</si>
  <si>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</si>
  <si>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</si>
  <si>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</si>
  <si>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</si>
  <si>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</si>
  <si>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</si>
  <si>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</si>
  <si>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</si>
  <si>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</si>
  <si>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</si>
  <si>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</si>
  <si>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</si>
  <si>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</si>
  <si>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</si>
  <si>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</si>
  <si>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</si>
  <si>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</si>
  <si>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</si>
  <si>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</si>
  <si>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</si>
  <si>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</si>
  <si>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</si>
  <si>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</si>
  <si>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</si>
  <si>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</si>
  <si>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</si>
  <si>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</si>
  <si>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</si>
  <si>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</si>
  <si>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</si>
  <si>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</si>
  <si>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</si>
  <si>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</si>
  <si>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</si>
  <si>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</si>
  <si>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</si>
  <si>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</si>
  <si>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</si>
  <si>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</si>
  <si>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</si>
  <si>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</si>
  <si>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</si>
  <si>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</si>
  <si>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</si>
  <si>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</si>
  <si>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</si>
  <si>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</si>
  <si>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</si>
  <si>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</si>
  <si>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</si>
  <si>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</si>
  <si>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</si>
  <si>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</si>
  <si>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</si>
  <si>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</si>
  <si>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</si>
  <si>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</si>
  <si>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</si>
  <si>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</si>
  <si>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</si>
  <si>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</si>
  <si>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</si>
  <si>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</si>
  <si>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</si>
  <si>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</si>
  <si>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</si>
  <si>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</si>
  <si>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</si>
  <si>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</si>
  <si>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</si>
  <si>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</si>
  <si>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</si>
  <si>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</si>
  <si>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</si>
  <si>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</si>
  <si>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</si>
  <si>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</si>
  <si>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</si>
  <si>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</si>
  <si>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</si>
  <si>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</si>
  <si>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</si>
  <si>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</si>
  <si>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</si>
  <si>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</si>
  <si>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</si>
  <si>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</si>
  <si>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</si>
  <si>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</si>
  <si>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</si>
  <si>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</si>
  <si>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</si>
  <si>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</si>
  <si>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</si>
  <si>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</si>
  <si>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</si>
  <si>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</si>
  <si>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</si>
  <si>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</si>
  <si>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</si>
  <si>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</si>
  <si>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</si>
  <si>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</si>
  <si>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</si>
  <si>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</si>
  <si>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</si>
  <si>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</si>
  <si>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</si>
  <si>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</si>
  <si>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</si>
  <si>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</si>
  <si>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</si>
  <si>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</si>
  <si>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</si>
  <si>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</si>
  <si>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</si>
  <si>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</si>
  <si>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</si>
  <si>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</si>
  <si>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</si>
  <si>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</si>
  <si>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</si>
  <si>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</si>
  <si>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</si>
  <si>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</si>
  <si>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</si>
  <si>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</si>
  <si>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</si>
  <si>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</si>
  <si>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</si>
  <si>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</si>
  <si>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</si>
  <si>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</si>
  <si>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</si>
  <si>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</si>
  <si>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</si>
  <si>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</si>
  <si>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</si>
  <si>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</si>
  <si>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</si>
  <si>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</si>
  <si>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</si>
  <si>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</si>
  <si>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</si>
  <si>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</si>
  <si>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</si>
  <si>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</si>
  <si>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</si>
  <si>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</si>
  <si>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</si>
  <si>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</si>
  <si>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</si>
  <si>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</si>
  <si>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</si>
  <si>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</si>
  <si>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</si>
  <si>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</si>
  <si>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</si>
  <si>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</si>
  <si>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</si>
  <si>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</si>
  <si>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</si>
  <si>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</si>
  <si>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</si>
  <si>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</si>
  <si>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</si>
  <si>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</si>
  <si>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</si>
  <si>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</si>
  <si>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</si>
  <si>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</si>
  <si>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</si>
  <si>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</si>
  <si>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</si>
  <si>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</si>
  <si>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</si>
  <si>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</si>
  <si>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</si>
  <si>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</si>
  <si>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</si>
  <si>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</si>
  <si>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</si>
  <si>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</si>
  <si>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</si>
  <si>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</si>
  <si>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</si>
  <si>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</si>
  <si>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</si>
  <si>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</si>
  <si>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</si>
  <si>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</si>
  <si>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</si>
  <si>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</si>
  <si>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</si>
  <si>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</si>
  <si>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</si>
  <si>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</si>
  <si>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</si>
  <si>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</si>
  <si>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</si>
  <si>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</si>
  <si>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</si>
  <si>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</si>
  <si>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</si>
  <si>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</si>
  <si>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</si>
  <si>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</si>
  <si>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</si>
  <si>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</si>
  <si>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</si>
  <si>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</si>
  <si>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</si>
  <si>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</si>
  <si>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</si>
  <si>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</si>
  <si>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</si>
  <si>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</si>
  <si>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</si>
  <si>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</si>
  <si>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</si>
  <si>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</si>
  <si>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</si>
  <si>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</si>
  <si>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</si>
  <si>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</si>
  <si>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</si>
  <si>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</si>
  <si>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</si>
  <si>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</si>
  <si>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</si>
  <si>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</si>
  <si>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</si>
  <si>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</si>
  <si>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</si>
  <si>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</si>
  <si>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</si>
  <si>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</si>
  <si>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</si>
  <si>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</si>
  <si>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</si>
  <si>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</si>
  <si>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</si>
  <si>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</si>
  <si>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</si>
  <si>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</si>
  <si>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</si>
  <si>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</si>
  <si>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</si>
  <si>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</si>
  <si>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</si>
  <si>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</si>
  <si>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</si>
  <si>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</si>
  <si>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</si>
  <si>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</si>
  <si>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</si>
  <si>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</si>
  <si>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</si>
  <si>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</si>
  <si>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</si>
  <si>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</si>
  <si>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</si>
  <si>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</si>
  <si>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</si>
  <si>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</si>
  <si>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</si>
  <si>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</si>
  <si>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</si>
  <si>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</si>
  <si>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</si>
  <si>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</si>
  <si>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</si>
  <si>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</si>
  <si>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</si>
  <si>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</si>
  <si>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</si>
  <si>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</si>
  <si>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</si>
  <si>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</si>
  <si>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</si>
  <si>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</si>
  <si>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</si>
  <si>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</si>
  <si>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</si>
  <si>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</si>
  <si>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</si>
  <si>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</si>
  <si>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</si>
  <si>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</si>
  <si>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</si>
  <si>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</si>
  <si>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</si>
  <si>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</si>
  <si>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</si>
  <si>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</si>
  <si>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</si>
  <si>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</si>
  <si>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</si>
  <si>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</si>
  <si>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</si>
  <si>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</si>
  <si>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</si>
  <si>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</si>
  <si>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</si>
  <si>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</si>
  <si>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</si>
  <si>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</si>
  <si>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</si>
  <si>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</si>
  <si>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</si>
  <si>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</si>
  <si>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</si>
  <si>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</si>
  <si>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</si>
  <si>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</si>
  <si>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</si>
  <si>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</si>
  <si>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</si>
  <si>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</si>
  <si>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</si>
  <si>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</si>
  <si>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</si>
  <si>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</si>
  <si>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</si>
  <si>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</si>
  <si>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</si>
  <si>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</si>
  <si>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</si>
  <si>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</si>
  <si>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</si>
  <si>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</si>
  <si>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</si>
  <si>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</si>
  <si>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</si>
  <si>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</si>
  <si>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</si>
  <si>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</si>
  <si>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</si>
  <si>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</si>
  <si>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</si>
  <si>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</si>
  <si>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</si>
  <si>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</si>
  <si>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</si>
  <si>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</si>
  <si>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</si>
  <si>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</si>
  <si>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</si>
  <si>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</si>
  <si>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</si>
  <si>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</si>
  <si>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</si>
  <si>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</si>
  <si>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</si>
  <si>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</si>
  <si>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</si>
  <si>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</si>
  <si>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</si>
  <si>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</si>
  <si>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</si>
  <si>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</si>
  <si>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</si>
  <si>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</si>
  <si>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</si>
  <si>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</si>
  <si>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</si>
  <si>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</si>
  <si>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</si>
  <si>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</si>
  <si>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</si>
  <si>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</si>
  <si>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</si>
  <si>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</si>
  <si>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</si>
  <si>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</si>
  <si>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</si>
  <si>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</si>
  <si>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</si>
  <si>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</si>
  <si>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</si>
  <si>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</si>
  <si>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</si>
  <si>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</si>
  <si>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</si>
  <si>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</si>
  <si>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</si>
  <si>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</si>
  <si>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</si>
  <si>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</si>
  <si>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</si>
  <si>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</si>
  <si>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</si>
  <si>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</si>
  <si>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</si>
  <si>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</si>
  <si>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</si>
  <si>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</si>
  <si>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</si>
  <si>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</si>
  <si>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</si>
  <si>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</si>
  <si>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</si>
  <si>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</si>
  <si>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</si>
  <si>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t>4.6.32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</si>
</sst>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6"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90">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ProjectSummary!$B$29</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180282576"/>
        <c:axId val="180283136"/>
      </c:lineChart>
      <c:dateAx>
        <c:axId val="180282576"/>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83136"/>
        <c:crosses val="autoZero"/>
        <c:auto val="1"/>
        <c:lblOffset val="100"/>
        <c:baseTimeUnit val="days"/>
      </c:dateAx>
      <c:valAx>
        <c:axId val="18028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82576"/>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1"/>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522</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4"/>
      <c r="C3" s="284"/>
      <c r="D3" s="284"/>
      <c r="E3" s="259"/>
      <c r="F3" s="165"/>
      <c r="G3" s="165"/>
      <c r="H3" s="165"/>
      <c r="I3" s="165"/>
      <c r="J3" s="165"/>
      <c r="K3" s="165"/>
      <c r="L3" s="165"/>
      <c r="M3" s="165"/>
      <c r="N3" s="165"/>
      <c r="O3" s="165"/>
      <c r="P3" s="165"/>
      <c r="Q3" s="165"/>
      <c r="R3" s="165"/>
      <c r="S3" s="165"/>
      <c r="T3" s="165"/>
      <c r="U3" s="165"/>
    </row>
    <row r="4" spans="1:21" x14ac:dyDescent="0.25">
      <c r="A4" s="165"/>
      <c r="B4" s="168" t="s">
        <v>196</v>
      </c>
      <c r="C4" s="282"/>
      <c r="D4" s="282"/>
      <c r="E4" s="273"/>
      <c r="F4" s="165"/>
      <c r="G4" s="165"/>
      <c r="H4" s="165"/>
      <c r="I4" s="165"/>
      <c r="J4" s="165"/>
      <c r="K4" s="165"/>
      <c r="L4" s="165"/>
      <c r="M4" s="165"/>
      <c r="N4" s="165"/>
      <c r="O4" s="165"/>
      <c r="P4" s="165"/>
      <c r="Q4" s="165"/>
      <c r="R4" s="165"/>
      <c r="S4" s="165"/>
      <c r="T4" s="165"/>
      <c r="U4" s="165"/>
    </row>
    <row r="5" spans="1:21" x14ac:dyDescent="0.25">
      <c r="A5" s="165"/>
      <c r="B5" s="169" t="s">
        <v>90</v>
      </c>
      <c r="C5" s="283"/>
      <c r="D5" s="283"/>
      <c r="E5" s="273"/>
      <c r="F5" s="165"/>
      <c r="G5" s="165"/>
      <c r="H5" s="165"/>
      <c r="I5" s="165"/>
      <c r="J5" s="165"/>
      <c r="K5" s="165"/>
      <c r="L5" s="165"/>
      <c r="M5" s="165"/>
      <c r="N5" s="165"/>
      <c r="O5" s="165"/>
      <c r="P5" s="165"/>
      <c r="Q5" s="165"/>
      <c r="R5" s="165"/>
      <c r="S5" s="165"/>
      <c r="T5" s="165"/>
      <c r="U5" s="165"/>
    </row>
    <row r="6" spans="1:21" x14ac:dyDescent="0.25">
      <c r="A6" s="165"/>
      <c r="B6" s="169" t="s">
        <v>91</v>
      </c>
      <c r="C6" s="288"/>
      <c r="D6" s="288"/>
      <c r="E6" s="274"/>
      <c r="F6" s="165"/>
      <c r="G6" s="165"/>
      <c r="H6" s="165"/>
      <c r="I6" s="165"/>
      <c r="J6" s="165"/>
      <c r="K6" s="165"/>
      <c r="L6" s="165"/>
      <c r="M6" s="165"/>
      <c r="N6" s="165"/>
      <c r="O6" s="165"/>
      <c r="P6" s="165"/>
      <c r="Q6" s="165"/>
      <c r="R6" s="165"/>
      <c r="S6" s="165"/>
      <c r="T6" s="165"/>
      <c r="U6" s="165"/>
    </row>
    <row r="7" spans="1:21" x14ac:dyDescent="0.25">
      <c r="A7" s="165"/>
      <c r="B7" s="169" t="s">
        <v>189</v>
      </c>
      <c r="C7" s="282"/>
      <c r="D7" s="282"/>
      <c r="E7" s="273"/>
      <c r="F7" s="165"/>
      <c r="G7" s="165"/>
      <c r="H7" s="165"/>
      <c r="I7" s="165"/>
      <c r="J7" s="165"/>
      <c r="K7" s="165"/>
      <c r="L7" s="165"/>
      <c r="M7" s="165"/>
      <c r="N7" s="165"/>
      <c r="O7" s="165"/>
      <c r="P7" s="165"/>
      <c r="Q7" s="165"/>
      <c r="R7" s="165"/>
      <c r="S7" s="165"/>
      <c r="T7" s="165"/>
      <c r="U7" s="165"/>
    </row>
    <row r="8" spans="1:21" x14ac:dyDescent="0.25">
      <c r="A8" s="165"/>
      <c r="B8" s="169" t="s">
        <v>92</v>
      </c>
      <c r="C8" s="283"/>
      <c r="D8" s="283"/>
      <c r="E8" s="273"/>
      <c r="F8" s="165"/>
      <c r="G8" s="165"/>
      <c r="H8" s="165"/>
      <c r="I8" s="165"/>
      <c r="J8" s="165"/>
      <c r="K8" s="165"/>
      <c r="L8" s="165"/>
      <c r="M8" s="165"/>
      <c r="N8" s="165"/>
      <c r="O8" s="165"/>
      <c r="P8" s="165"/>
      <c r="Q8" s="165"/>
      <c r="R8" s="165"/>
      <c r="S8" s="165"/>
      <c r="T8" s="165"/>
      <c r="U8" s="165"/>
    </row>
    <row r="9" spans="1:21" x14ac:dyDescent="0.25">
      <c r="A9" s="165"/>
      <c r="B9" s="289"/>
      <c r="C9" s="289"/>
      <c r="D9" s="289"/>
      <c r="E9" s="260"/>
      <c r="F9" s="165"/>
      <c r="G9" s="165"/>
      <c r="H9" s="165"/>
      <c r="I9" s="165"/>
      <c r="J9" s="165"/>
      <c r="K9" s="165"/>
      <c r="L9" s="165"/>
      <c r="M9" s="165"/>
      <c r="N9" s="165"/>
      <c r="O9" s="165"/>
      <c r="P9" s="165"/>
      <c r="Q9" s="165"/>
      <c r="R9" s="165"/>
      <c r="S9" s="165"/>
      <c r="T9" s="165"/>
      <c r="U9" s="165"/>
    </row>
    <row r="10" spans="1:21" x14ac:dyDescent="0.25">
      <c r="A10" s="165"/>
      <c r="B10" s="170" t="s">
        <v>515</v>
      </c>
      <c r="C10" s="282"/>
      <c r="D10" s="282"/>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83"/>
      <c r="D11" s="283"/>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83"/>
      <c r="D12" s="283"/>
      <c r="E12" s="273"/>
      <c r="F12" s="167"/>
      <c r="G12" s="165"/>
      <c r="H12" s="165"/>
      <c r="I12" s="165"/>
      <c r="J12" s="165"/>
      <c r="K12" s="165"/>
      <c r="L12" s="165"/>
      <c r="M12" s="165"/>
      <c r="N12" s="165"/>
      <c r="O12" s="165"/>
      <c r="P12" s="165"/>
      <c r="Q12" s="165"/>
      <c r="R12" s="165"/>
      <c r="S12" s="165"/>
      <c r="T12" s="165"/>
      <c r="U12" s="165"/>
    </row>
    <row r="13" spans="1:21" x14ac:dyDescent="0.25">
      <c r="A13" s="165"/>
      <c r="B13" s="284"/>
      <c r="C13" s="284"/>
      <c r="D13" s="284"/>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5"/>
      <c r="D14" s="285"/>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7"/>
      <c r="D15" s="287"/>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6"/>
      <c r="D16" s="286"/>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4"/>
      <c r="C17" s="284"/>
      <c r="D17" s="284"/>
      <c r="E17" s="259"/>
      <c r="F17" s="167"/>
      <c r="G17" s="165"/>
      <c r="H17" s="165"/>
      <c r="I17" s="165"/>
      <c r="J17" s="165"/>
      <c r="K17" s="165"/>
      <c r="L17" s="165"/>
      <c r="M17" s="165"/>
      <c r="N17" s="165"/>
      <c r="O17" s="165"/>
      <c r="P17" s="165"/>
      <c r="Q17" s="165"/>
      <c r="R17" s="165"/>
      <c r="S17" s="165"/>
      <c r="T17" s="165"/>
      <c r="U17" s="165"/>
    </row>
    <row r="18" spans="1:21" x14ac:dyDescent="0.25">
      <c r="A18" s="165"/>
      <c r="B18" s="278"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70">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70">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7" t="s">
        <v>521</v>
      </c>
      <c r="C28" s="174" t="e">
        <f ca="1">COUNTIF(INDIRECT("TestingDetail!D:D"),"BLOCKED")</f>
        <v>#REF!</v>
      </c>
      <c r="D28" s="175" t="e">
        <f ca="1">IF(C19&lt;&gt;0,C28/C19,0)</f>
        <v>#REF!</v>
      </c>
      <c r="E28" s="270">
        <v>2</v>
      </c>
      <c r="F28" s="165"/>
      <c r="G28" s="165"/>
      <c r="H28" s="165"/>
      <c r="I28" s="165"/>
      <c r="J28" s="165"/>
      <c r="K28" s="165"/>
      <c r="L28" s="165"/>
      <c r="M28" s="165"/>
      <c r="N28" s="165"/>
      <c r="O28" s="165"/>
      <c r="P28" s="165"/>
      <c r="Q28" s="165"/>
      <c r="R28" s="165"/>
      <c r="S28" s="165"/>
      <c r="T28" s="165"/>
      <c r="U28" s="165"/>
    </row>
    <row r="29" spans="1:21" ht="17.25" x14ac:dyDescent="0.25">
      <c r="A29" s="165"/>
      <c r="B29" s="171" t="s">
        <v>126</v>
      </c>
      <c r="C29" s="172" t="e">
        <f ca="1">SUM(COUNTIFS(INDIRECT("TestingDetail!E:E"),{"accept*","info*","n/a*"}))</f>
        <v>#REF!</v>
      </c>
      <c r="D29" s="175"/>
      <c r="E29" s="261"/>
      <c r="F29" s="165"/>
      <c r="G29" s="165"/>
      <c r="H29" s="165"/>
      <c r="I29" s="165"/>
      <c r="J29" s="165"/>
      <c r="K29" s="165"/>
      <c r="L29" s="165"/>
      <c r="M29" s="165"/>
      <c r="N29" s="165"/>
      <c r="O29" s="165"/>
      <c r="P29" s="165"/>
      <c r="Q29" s="165"/>
      <c r="R29" s="165"/>
      <c r="S29" s="165"/>
      <c r="T29" s="165"/>
      <c r="U29" s="165"/>
    </row>
    <row r="30" spans="1:21" s="267" customFormat="1" ht="11.25" x14ac:dyDescent="0.2">
      <c r="A30" s="264"/>
      <c r="B30" s="265"/>
      <c r="C30" s="265"/>
      <c r="D30" s="265"/>
      <c r="E30" s="266"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t="s">
        <v>519</v>
      </c>
      <c r="F31" s="264"/>
      <c r="G31" s="264"/>
      <c r="H31" s="264"/>
      <c r="I31" s="264"/>
      <c r="J31" s="264"/>
      <c r="K31" s="264"/>
      <c r="L31" s="264"/>
      <c r="M31" s="264"/>
      <c r="N31" s="264"/>
      <c r="O31" s="264"/>
      <c r="P31" s="264"/>
      <c r="Q31" s="264"/>
      <c r="R31" s="264"/>
      <c r="S31" s="264"/>
      <c r="T31" s="264"/>
      <c r="U31" s="264"/>
    </row>
    <row r="32" spans="1:21" s="267" customFormat="1" ht="11.25" x14ac:dyDescent="0.2">
      <c r="A32" s="264"/>
      <c r="B32" s="268"/>
      <c r="C32" s="268"/>
      <c r="D32" s="268"/>
      <c r="E32" s="269"/>
      <c r="F32" s="264"/>
      <c r="G32" s="264"/>
      <c r="H32" s="264"/>
      <c r="I32" s="264"/>
      <c r="J32" s="264"/>
      <c r="K32" s="264"/>
      <c r="L32" s="264"/>
      <c r="M32" s="264"/>
      <c r="N32" s="264"/>
      <c r="O32" s="264"/>
      <c r="P32" s="264"/>
      <c r="Q32" s="264"/>
      <c r="R32" s="264"/>
      <c r="S32" s="264"/>
      <c r="T32" s="264"/>
      <c r="U32" s="264"/>
    </row>
    <row r="33" spans="1:21" x14ac:dyDescent="0.25">
      <c r="A33" s="165"/>
      <c r="B33" s="179" t="s">
        <v>76</v>
      </c>
      <c r="C33" s="180">
        <f ca="1">SUM(ResourceUsed)/3600</f>
        <v>0</v>
      </c>
      <c r="D33" s="181"/>
      <c r="E33" s="272"/>
      <c r="F33" s="165"/>
      <c r="G33" s="165"/>
      <c r="H33" s="165"/>
      <c r="I33" s="165"/>
      <c r="J33" s="165"/>
      <c r="K33" s="165"/>
      <c r="L33" s="165"/>
      <c r="M33" s="165"/>
      <c r="N33" s="165"/>
      <c r="O33" s="165"/>
      <c r="P33" s="165"/>
      <c r="Q33" s="165"/>
      <c r="R33" s="165"/>
      <c r="S33" s="165"/>
      <c r="T33" s="165"/>
      <c r="U33" s="165"/>
    </row>
    <row r="34" spans="1:21" x14ac:dyDescent="0.25">
      <c r="A34" s="165"/>
      <c r="B34" s="179" t="s">
        <v>77</v>
      </c>
      <c r="C34" s="182">
        <f ca="1">C15-C33</f>
        <v>0</v>
      </c>
      <c r="D34" s="183"/>
      <c r="E34" s="272"/>
      <c r="F34" s="165"/>
      <c r="G34" s="165"/>
      <c r="H34" s="165"/>
      <c r="I34" s="165"/>
      <c r="J34" s="165"/>
      <c r="K34" s="165"/>
      <c r="L34" s="165"/>
      <c r="M34" s="165"/>
      <c r="N34" s="165"/>
      <c r="O34" s="165"/>
      <c r="P34" s="165"/>
      <c r="Q34" s="165"/>
      <c r="R34" s="165"/>
      <c r="S34" s="165"/>
      <c r="T34" s="165"/>
      <c r="U34" s="165"/>
    </row>
    <row r="35" spans="1:21" x14ac:dyDescent="0.25">
      <c r="A35" s="165"/>
      <c r="B35" s="284"/>
      <c r="C35" s="284"/>
      <c r="D35" s="284"/>
      <c r="E35" s="259"/>
      <c r="F35" s="165"/>
      <c r="G35" s="165"/>
      <c r="H35" s="165"/>
      <c r="I35" s="165"/>
      <c r="J35" s="165"/>
      <c r="K35" s="165"/>
      <c r="L35" s="165"/>
      <c r="M35" s="165"/>
      <c r="N35" s="165"/>
      <c r="O35" s="165"/>
      <c r="P35" s="165"/>
      <c r="Q35" s="165"/>
      <c r="R35" s="165"/>
      <c r="S35" s="165"/>
      <c r="T35" s="165"/>
      <c r="U35" s="165"/>
    </row>
    <row r="36" spans="1:21" ht="15.75" thickBot="1" x14ac:dyDescent="0.3">
      <c r="B36" s="42"/>
    </row>
    <row r="37" spans="1:21" ht="16.5" thickTop="1" thickBot="1" x14ac:dyDescent="0.3">
      <c r="A37" s="25"/>
      <c r="B37" s="255" t="s">
        <v>485</v>
      </c>
      <c r="C37" s="165"/>
      <c r="D37" s="165"/>
      <c r="E37" s="165"/>
      <c r="F37" s="25"/>
      <c r="I37" s="279" t="s">
        <v>488</v>
      </c>
      <c r="J37" s="280"/>
      <c r="K37" s="280"/>
      <c r="L37" s="280"/>
      <c r="M37" s="280"/>
      <c r="N37" s="280"/>
      <c r="O37" s="280"/>
      <c r="P37" s="281"/>
    </row>
    <row r="38" spans="1:21" ht="15.75" thickTop="1" x14ac:dyDescent="0.25">
      <c r="A38" s="25"/>
      <c r="B38" s="256" t="s">
        <v>486</v>
      </c>
      <c r="C38" s="257" t="e">
        <f ca="1">COUNTIF(INDIRECT("TestingDetail!E:E"),"Failed"&amp;"*")</f>
        <v>#REF!</v>
      </c>
      <c r="D38" s="165"/>
      <c r="E38" s="165"/>
      <c r="F38" s="25"/>
    </row>
    <row r="39" spans="1:21" x14ac:dyDescent="0.25">
      <c r="A39" s="25"/>
      <c r="B39" s="256" t="s">
        <v>487</v>
      </c>
      <c r="C39" s="257" t="e">
        <f ca="1">COUNTIF(INDIRECT("TestingDetail!E:E"),"Wait"&amp;"*")</f>
        <v>#REF!</v>
      </c>
      <c r="D39" s="165"/>
      <c r="E39" s="165"/>
      <c r="F39" s="25"/>
    </row>
    <row r="40" spans="1:21" x14ac:dyDescent="0.25">
      <c r="A40" s="25"/>
      <c r="B40" s="256" t="s">
        <v>521</v>
      </c>
      <c r="C40" s="257" t="e">
        <f ca="1">COUNTIF(INDIRECT("TestingDetail!E:E"),"Blocked")</f>
        <v>#REF!</v>
      </c>
      <c r="D40" s="165"/>
      <c r="E40" s="165"/>
      <c r="F40" s="25"/>
    </row>
    <row r="41" spans="1:21" x14ac:dyDescent="0.25">
      <c r="B41" s="258"/>
      <c r="C41" s="164"/>
      <c r="D41" s="164"/>
      <c r="E41" s="164"/>
    </row>
  </sheetData>
  <sheetProtection algorithmName="SHA-512" hashValue="W8rToQiw8Ccpx7FN86Yw3Dk1Ug3GgicnReeEc3fGAUsBL6GzRAN/rgALHduSw7ZFhQeYbzgRyZJQgIKCeyRbWQ==" saltValue="iT/UwGgZcS4zvgEmtW9r4A==" spinCount="100000" sheet="1" objects="1" scenarios="1" selectLockedCells="1" sort="0" autoFilter="0"/>
  <protectedRanges>
    <protectedRange password="DDDF" sqref="I36:R36 A41:XFD1048576 G37:G40 H17:XFD29 I37:L37 N37:P37 H38:P40 R37:R40 Q37:Q38 Q40 A17:G18 A1:XFD16 A33:G36 F19:G29 S33:XFD40 H33:R35 A19:D29" name="projectsummary" securityDescriptor="O:WDG:WDD:(A;;CC;;;S-1-5-21-1065746463-197919211-1947940980-1133)(A;;CC;;;S-1-5-21-1065746463-197919211-1947940980-1272)(A;;CC;;;S-1-5-21-1065746463-197919211-1947940980-1303)(A;;CC;;;S-1-5-21-1065746463-197919211-1947940980-1127)"/>
    <protectedRange password="DDDF" sqref="A37:F40" name="projectsummary_1" securityDescriptor="O:WDG:WDD:(A;;CC;;;S-1-5-21-1065746463-197919211-1947940980-1133)(A;;CC;;;S-1-5-21-1065746463-197919211-1947940980-1272)(A;;CC;;;S-1-5-21-1065746463-197919211-1947940980-1303)(A;;CC;;;S-1-5-21-1065746463-197919211-1947940980-1127)"/>
    <protectedRange password="DDDF" sqref="E19:E29" name="projectsummary_2" securityDescriptor="O:WDG:WDD:(A;;CC;;;S-1-5-21-1065746463-197919211-1947940980-1133)(A;;CC;;;S-1-5-21-1065746463-197919211-1947940980-1272)(A;;CC;;;S-1-5-21-1065746463-197919211-1947940980-1303)(A;;CC;;;S-1-5-21-1065746463-197919211-1947940980-1127)"/>
    <protectedRange password="DDDF" sqref="A30:XFD32" name="projectsummary_3" securityDescriptor="O:WDG:WDD:(A;;CC;;;S-1-5-21-1065746463-197919211-1947940980-1133)(A;;CC;;;S-1-5-21-1065746463-197919211-1947940980-1272)(A;;CC;;;S-1-5-21-1065746463-197919211-1947940980-1303)(A;;CC;;;S-1-5-21-1065746463-197919211-1947940980-1127)"/>
  </protectedRanges>
  <mergeCells count="17">
    <mergeCell ref="C5:D5"/>
    <mergeCell ref="C6:D6"/>
    <mergeCell ref="B9:D9"/>
    <mergeCell ref="C4:D4"/>
    <mergeCell ref="B3:D3"/>
    <mergeCell ref="I37:P37"/>
    <mergeCell ref="C10:D10"/>
    <mergeCell ref="C8:D8"/>
    <mergeCell ref="C11:D11"/>
    <mergeCell ref="C7:D7"/>
    <mergeCell ref="B35:D35"/>
    <mergeCell ref="C12:D12"/>
    <mergeCell ref="B13:D13"/>
    <mergeCell ref="C14:D14"/>
    <mergeCell ref="C16:D16"/>
    <mergeCell ref="B17:D17"/>
    <mergeCell ref="C15:D15"/>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012SJ+8jmi98EqY+nK7wrWnditg1wmOqCg2fcYON4ekA82Y44fGA5GJmfVUBYCvx4fzviUYIopzb762iASX6SQ==" saltValue="owLGhn7b+tQ7NNBwzVP2Pg=="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jfiD39adVS0Ur+lpqJjhwPNcGsioDLizq98Wlp4xEMcuEwLLweOfC/4pfe8iZDlePTog4l+p4eVreFmG0zF1pA==" saltValue="kIRJHzFrYpCRpczp2i8JMw=="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algorithmName="SHA-512" hashValue="3rW8VhtQ37yk1dHSas4+NYl+BtQuZ+AydmSQaUkXQyr+lYRcSHRTLRDF7mxN7sVxN6IkbA5aD5GRSh4P/2m1/A==" saltValue="8D21o1ehEAFfCUBzVs/6hw=="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algorithmName="SHA-512" hashValue="uxxWMBsS8WYfnQ7Bwz6lZnMYjbCVEVgMxzBRJWo2Vhf7iUMRf2yyYZC5uTpCt4uuhLc8gGXQ7Kg9iUxoHlHuEg==" saltValue="FDEpUpgRNpu59oJ//JcQ8A=="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algorithmName="SHA-512" hashValue="eHkmFK3tVWoW3h0Z5y2/d+uX7irG7m0smWenq4seATHK/16zI2NXohbCOehHpftG3bC9hEYd6A6PEGUb+DtWqQ==" saltValue="gteDWkxLY2D/MJ1iaGmZ/w=="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algorithmName="SHA-512" hashValue="N/gH+P2T8f2tZyvBFUIJgJkOnBfutUi9lUI7ofNNLUyC0L4Q8aaPwIDkH/c34VTkHC1OBqktYuEcbYxg5FaNOQ==" saltValue="WJWM74hZHliwGcfOqD+qdg=="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algorithmName="SHA-512" hashValue="klZC2C/i7clpFHZtv1ZbFKJDqKMpDxqmnCTbSdpeNpXeaJEhyZdWHlPAi5xczFVWrD7kbYFs9uw5ggkHLXiraA==" saltValue="ZsGYOOpdAAClxJGvpKqKfw=="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521</v>
      </c>
    </row>
    <row r="11" spans="2:12" s="48" customFormat="1" x14ac:dyDescent="0.25">
      <c r="B11" s="64" t="s">
        <v>516</v>
      </c>
    </row>
    <row r="12" spans="2:12" s="48" customFormat="1" x14ac:dyDescent="0.25">
      <c r="B12" s="49"/>
    </row>
    <row r="13" spans="2:12" s="48" customFormat="1" x14ac:dyDescent="0.25">
      <c r="B13" s="47" t="s">
        <v>73</v>
      </c>
    </row>
    <row r="14" spans="2:12" x14ac:dyDescent="0.25">
      <c r="B14" s="49" t="s">
        <v>93</v>
      </c>
      <c r="L14" s="49"/>
    </row>
    <row r="15" spans="2:12" x14ac:dyDescent="0.25">
      <c r="B15" s="49" t="s">
        <v>94</v>
      </c>
    </row>
    <row r="16" spans="2:12" x14ac:dyDescent="0.25">
      <c r="B16" s="49" t="s">
        <v>95</v>
      </c>
    </row>
    <row r="18" spans="2:2" x14ac:dyDescent="0.25">
      <c r="B18" s="47" t="s">
        <v>192</v>
      </c>
    </row>
    <row r="19" spans="2:2" x14ac:dyDescent="0.25">
      <c r="B19" s="64" t="s">
        <v>481</v>
      </c>
    </row>
    <row r="20" spans="2:2" x14ac:dyDescent="0.25">
      <c r="B20" s="49" t="s">
        <v>190</v>
      </c>
    </row>
    <row r="21" spans="2:2" x14ac:dyDescent="0.25">
      <c r="B21" s="49" t="s">
        <v>191</v>
      </c>
    </row>
    <row r="22" spans="2:2" x14ac:dyDescent="0.25">
      <c r="B22" s="49" t="s">
        <v>193</v>
      </c>
    </row>
    <row r="23" spans="2:2" x14ac:dyDescent="0.25">
      <c r="B23" s="49" t="s">
        <v>194</v>
      </c>
    </row>
    <row r="24" spans="2:2" x14ac:dyDescent="0.25">
      <c r="B24" s="49" t="s">
        <v>195</v>
      </c>
    </row>
    <row r="25" spans="2:2" x14ac:dyDescent="0.25">
      <c r="B25" s="49" t="s">
        <v>520</v>
      </c>
    </row>
    <row r="26" spans="2:2" x14ac:dyDescent="0.25">
      <c r="B26" s="64" t="s">
        <v>482</v>
      </c>
    </row>
    <row r="28" spans="2:2" x14ac:dyDescent="0.25">
      <c r="B28" s="47" t="s">
        <v>96</v>
      </c>
    </row>
    <row r="29" spans="2:2" x14ac:dyDescent="0.25">
      <c r="B29" s="48" t="s">
        <v>97</v>
      </c>
    </row>
    <row r="30" spans="2:2" x14ac:dyDescent="0.25">
      <c r="B30" s="48" t="s">
        <v>489</v>
      </c>
    </row>
    <row r="31" spans="2:2" x14ac:dyDescent="0.25">
      <c r="B31" s="48" t="s">
        <v>98</v>
      </c>
    </row>
    <row r="33" spans="2:8" x14ac:dyDescent="0.25">
      <c r="B33" s="47" t="s">
        <v>101</v>
      </c>
    </row>
    <row r="34" spans="2:8" x14ac:dyDescent="0.25">
      <c r="B34" s="9" t="s">
        <v>119</v>
      </c>
    </row>
    <row r="35" spans="2:8" x14ac:dyDescent="0.25">
      <c r="B35" s="9" t="s">
        <v>102</v>
      </c>
    </row>
    <row r="37" spans="2:8" x14ac:dyDescent="0.25">
      <c r="B37" s="47" t="s">
        <v>103</v>
      </c>
    </row>
    <row r="38" spans="2:8" x14ac:dyDescent="0.25">
      <c r="B38" s="9" t="s">
        <v>106</v>
      </c>
    </row>
    <row r="39" spans="2:8" x14ac:dyDescent="0.25">
      <c r="B39" s="9" t="s">
        <v>104</v>
      </c>
    </row>
    <row r="40" spans="2:8" x14ac:dyDescent="0.25">
      <c r="B40" s="9" t="s">
        <v>107</v>
      </c>
    </row>
    <row r="41" spans="2:8" x14ac:dyDescent="0.25">
      <c r="B41" s="9" t="s">
        <v>105</v>
      </c>
    </row>
    <row r="42" spans="2:8" x14ac:dyDescent="0.25">
      <c r="B42" s="9" t="s">
        <v>118</v>
      </c>
    </row>
    <row r="43" spans="2:8" x14ac:dyDescent="0.25">
      <c r="B43" s="9" t="s">
        <v>108</v>
      </c>
    </row>
    <row r="44" spans="2:8" x14ac:dyDescent="0.25">
      <c r="B44" s="9" t="s">
        <v>109</v>
      </c>
    </row>
    <row r="45" spans="2:8" x14ac:dyDescent="0.25">
      <c r="B45" s="9" t="s">
        <v>492</v>
      </c>
    </row>
    <row r="46" spans="2:8" x14ac:dyDescent="0.25">
      <c r="B46" s="9" t="s">
        <v>110</v>
      </c>
    </row>
    <row r="48" spans="2:8" x14ac:dyDescent="0.25">
      <c r="B48" s="47" t="s">
        <v>111</v>
      </c>
      <c r="D48" s="47" t="s">
        <v>476</v>
      </c>
      <c r="F48" s="47" t="s">
        <v>483</v>
      </c>
      <c r="H48" s="240" t="e">
        <f>CONCATENATE("Valid",LEFT(ProjectSummary!C7,FIND(" ",ProjectSummary!C7)-1),"devs")</f>
        <v>#VALUE!</v>
      </c>
    </row>
    <row r="49" spans="2:8" x14ac:dyDescent="0.25">
      <c r="B49" s="9" t="s">
        <v>117</v>
      </c>
      <c r="D49" s="9" t="s">
        <v>478</v>
      </c>
      <c r="F49" s="9" t="s">
        <v>479</v>
      </c>
    </row>
    <row r="50" spans="2:8" x14ac:dyDescent="0.25">
      <c r="B50" s="9" t="s">
        <v>114</v>
      </c>
      <c r="D50" s="9" t="s">
        <v>477</v>
      </c>
      <c r="F50" s="9" t="s">
        <v>484</v>
      </c>
    </row>
    <row r="51" spans="2:8" x14ac:dyDescent="0.25">
      <c r="B51" s="9" t="s">
        <v>113</v>
      </c>
      <c r="D51" s="9" t="s">
        <v>114</v>
      </c>
      <c r="F51" s="9" t="s">
        <v>491</v>
      </c>
    </row>
    <row r="52" spans="2:8" x14ac:dyDescent="0.25">
      <c r="B52" s="9" t="s">
        <v>491</v>
      </c>
      <c r="D52" s="9" t="s">
        <v>491</v>
      </c>
      <c r="F52" s="9"/>
    </row>
    <row r="53" spans="2:8" x14ac:dyDescent="0.25">
      <c r="B53" s="9" t="s">
        <v>112</v>
      </c>
      <c r="D53" s="9" t="s">
        <v>112</v>
      </c>
      <c r="F53" s="9"/>
    </row>
    <row r="54" spans="2:8" x14ac:dyDescent="0.25">
      <c r="B54" s="9" t="s">
        <v>115</v>
      </c>
      <c r="D54" s="9" t="s">
        <v>480</v>
      </c>
      <c r="F54" s="9"/>
    </row>
    <row r="55" spans="2:8" x14ac:dyDescent="0.25">
      <c r="F55" s="9"/>
    </row>
    <row r="56" spans="2:8" x14ac:dyDescent="0.25">
      <c r="B56" s="47" t="s">
        <v>59</v>
      </c>
    </row>
    <row r="57" spans="2:8" x14ac:dyDescent="0.25">
      <c r="B57" s="49" t="s">
        <v>491</v>
      </c>
    </row>
    <row r="58" spans="2:8" x14ac:dyDescent="0.25">
      <c r="B58" s="9" t="s">
        <v>116</v>
      </c>
    </row>
    <row r="60" spans="2:8" x14ac:dyDescent="0.25">
      <c r="B60" s="47" t="s">
        <v>201</v>
      </c>
    </row>
    <row r="61" spans="2:8" x14ac:dyDescent="0.25">
      <c r="B61" s="9" t="s">
        <v>198</v>
      </c>
    </row>
    <row r="62" spans="2:8" x14ac:dyDescent="0.25">
      <c r="B62" s="9" t="s">
        <v>199</v>
      </c>
    </row>
    <row r="63" spans="2:8" x14ac:dyDescent="0.25">
      <c r="B63" s="9" t="s">
        <v>200</v>
      </c>
    </row>
    <row r="64" spans="2:8" x14ac:dyDescent="0.25">
      <c r="B64" s="9" t="s">
        <v>99</v>
      </c>
      <c r="H64" s="9"/>
    </row>
  </sheetData>
  <sheetProtection algorithmName="SHA-512" hashValue="MCfxD4niUjyfXxC8B1mnmEQ3O2ZycR5t2f5D3zhtobdlLayGdl2VZW4ComnbHSe8rHg2DW4S0YLw5GbQKs3bfQ==" saltValue="9lr/6GfRuaXRvWoSw+KvnA=="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2017-04-14T13:45:13Z</dcterms:modified>
</cp:coreProperties>
</file>