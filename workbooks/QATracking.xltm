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LookupValues!$B$51:$B$58</definedName>
    <definedName name="ValidCimFrontEndDevs">LookupValues!$B$62:$B$62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LookupValues!$B$66:$B$77</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3" i="20" l="1"/>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7" i="20" s="1"/>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C21" i="9"/>
  <c r="C24" i="9"/>
  <c r="C20" i="9"/>
  <c r="C28" i="9"/>
  <c r="C18" i="9"/>
  <c r="A9" i="20" l="1"/>
  <c r="A11" i="20" s="1"/>
  <c r="A13" i="20" s="1"/>
  <c r="D27" i="9"/>
  <c r="A15" i="20" l="1"/>
  <c r="A17" i="20" l="1"/>
  <c r="A19" i="20" s="1"/>
  <c r="A21" i="20" l="1"/>
  <c r="A23" i="20" l="1"/>
  <c r="A25" i="20" s="1"/>
  <c r="A28" i="20" l="1"/>
  <c r="A30" i="20" l="1"/>
  <c r="A32" i="20" s="1"/>
  <c r="A34" i="20" s="1"/>
  <c r="A36" i="20" s="1"/>
  <c r="A38" i="20" s="1"/>
  <c r="A40" i="20" s="1"/>
  <c r="A42" i="20" s="1"/>
  <c r="A44" i="20" s="1"/>
  <c r="A46" i="20" s="1"/>
  <c r="A48" i="20" s="1"/>
  <c r="A50" i="20" s="1"/>
  <c r="A57" i="20" l="1"/>
  <c r="A52" i="20"/>
  <c r="A54" i="20" s="1"/>
  <c r="A59" i="20" l="1"/>
  <c r="A61" i="20" s="1"/>
  <c r="A63" i="20" s="1"/>
  <c r="A65" i="20" s="1"/>
  <c r="A71" i="20" l="1"/>
  <c r="A67" i="20"/>
  <c r="A69" i="20" s="1"/>
  <c r="A73" i="20" l="1"/>
  <c r="A76" i="20" s="1"/>
  <c r="A78" i="20" s="1"/>
  <c r="A80" i="20" s="1"/>
  <c r="A82" i="20" l="1"/>
  <c r="A84" i="20" s="1"/>
  <c r="A86" i="20"/>
  <c r="A88" i="20" l="1"/>
  <c r="A91" i="20" s="1"/>
  <c r="A93" i="20" s="1"/>
  <c r="A99" i="20" s="1"/>
  <c r="C23" i="9"/>
  <c r="C22" i="9"/>
  <c r="C41" i="9"/>
  <c r="C17" i="9"/>
  <c r="C40" i="9"/>
  <c r="A95" i="20" l="1"/>
  <c r="A97" i="20" s="1"/>
  <c r="A4" i="18"/>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1" i="17"/>
  <c r="A1" i="16"/>
  <c r="A5" i="16" l="1"/>
  <c r="A7" i="16"/>
  <c r="A9" i="16" s="1"/>
  <c r="A5" i="12"/>
  <c r="A7" i="12" s="1"/>
  <c r="A7" i="19"/>
  <c r="A7" i="18"/>
  <c r="A7" i="17"/>
  <c r="A144" i="18"/>
  <c r="A11" i="16" l="1"/>
  <c r="A13" i="16"/>
  <c r="A15" i="16"/>
  <c r="A9" i="12"/>
  <c r="A11" i="12"/>
  <c r="A13" i="12" s="1"/>
  <c r="A9" i="19"/>
  <c r="A9" i="18"/>
  <c r="A11" i="18" s="1"/>
  <c r="A9" i="17"/>
  <c r="A11" i="17" s="1"/>
  <c r="A17" i="16" l="1"/>
  <c r="A19" i="16"/>
  <c r="A21" i="16"/>
  <c r="A15" i="12"/>
  <c r="A17" i="12" s="1"/>
  <c r="A19" i="12" s="1"/>
  <c r="A11" i="19"/>
  <c r="A13" i="18"/>
  <c r="A13" i="17"/>
  <c r="A26" i="16" l="1"/>
  <c r="A28" i="16" s="1"/>
  <c r="A30" i="16" s="1"/>
  <c r="A32" i="16" s="1"/>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23" i="16"/>
  <c r="A21" i="12"/>
  <c r="A13" i="19"/>
  <c r="A15" i="18"/>
  <c r="A15" i="17"/>
  <c r="B1" i="9"/>
  <c r="A23" i="12" l="1"/>
  <c r="A25" i="12" s="1"/>
  <c r="A15" i="19"/>
  <c r="A17" i="18"/>
  <c r="A17" i="17"/>
  <c r="B2" i="9"/>
  <c r="D1" i="9"/>
  <c r="C1" i="20" s="1"/>
  <c r="A1" i="12"/>
  <c r="B1" i="8"/>
  <c r="A28" i="12" l="1"/>
  <c r="A30" i="12" s="1"/>
  <c r="C1" i="18"/>
  <c r="C1" i="17"/>
  <c r="C1" i="19"/>
  <c r="C1" i="16"/>
  <c r="A17" i="19"/>
  <c r="A19" i="19" s="1"/>
  <c r="A20" i="18"/>
  <c r="A22" i="18" s="1"/>
  <c r="A19" i="17"/>
  <c r="D1" i="8"/>
  <c r="C1" i="12"/>
  <c r="A32" i="12" l="1"/>
  <c r="A34" i="12" s="1"/>
  <c r="A36" i="12" s="1"/>
  <c r="A38" i="12" s="1"/>
  <c r="A40" i="12" s="1"/>
  <c r="A42" i="12" s="1"/>
  <c r="A44" i="12" s="1"/>
  <c r="A46" i="12" s="1"/>
  <c r="A48" i="12" s="1"/>
  <c r="A50" i="12" s="1"/>
  <c r="A52" i="12" s="1"/>
  <c r="A54" i="12" s="1"/>
  <c r="A24" i="18"/>
  <c r="A26" i="18" s="1"/>
  <c r="A21" i="19"/>
  <c r="A23" i="19" s="1"/>
  <c r="A21" i="17"/>
  <c r="A24" i="17" s="1"/>
  <c r="C32" i="9"/>
  <c r="C33" i="9" s="1"/>
  <c r="A57" i="12" l="1"/>
  <c r="A59" i="12" s="1"/>
  <c r="A61" i="12" s="1"/>
  <c r="A63" i="12" s="1"/>
  <c r="A65" i="12" s="1"/>
  <c r="A25" i="19"/>
  <c r="A28" i="18"/>
  <c r="A30" i="18" s="1"/>
  <c r="A26" i="17"/>
  <c r="A67" i="12" l="1"/>
  <c r="A69" i="12" s="1"/>
  <c r="A71" i="12"/>
  <c r="A27" i="19"/>
  <c r="A32" i="18"/>
  <c r="A28" i="17"/>
  <c r="A73" i="12" l="1"/>
  <c r="A76" i="12" s="1"/>
  <c r="A78" i="12" s="1"/>
  <c r="A80" i="12" s="1"/>
  <c r="A29" i="19"/>
  <c r="A35" i="18"/>
  <c r="A30" i="17"/>
  <c r="A82" i="12" l="1"/>
  <c r="A84" i="12" s="1"/>
  <c r="A86" i="12"/>
  <c r="A32" i="19"/>
  <c r="A37" i="18"/>
  <c r="A32" i="17"/>
  <c r="A88" i="12" l="1"/>
  <c r="A34" i="19"/>
  <c r="A39" i="18"/>
  <c r="A34" i="17"/>
  <c r="A91" i="12" l="1"/>
  <c r="A93" i="12" s="1"/>
  <c r="A99" i="12" s="1"/>
  <c r="A36" i="19"/>
  <c r="A41" i="18"/>
  <c r="A36" i="17"/>
  <c r="A95" i="12" l="1"/>
  <c r="A97" i="12" s="1"/>
  <c r="A38" i="19"/>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<sst xmlns="http://schemas.openxmlformats.org/spreadsheetml/2006/main" count="977" uniqueCount="530">
  <si>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</si>
  <si>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</si>
  <si>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</si>
  <si>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</si>
  <si>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</si>
  <si>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</si>
  <si>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</si>
  <si>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</si>
  <si>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</si>
  <si>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</si>
  <si>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</si>
  <si>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</si>
  <si>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</si>
  <si>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</si>
  <si>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</si>
  <si>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</si>
  <si>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</si>
  <si>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</si>
  <si>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</si>
  <si>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</si>
  <si>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</si>
  <si>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</si>
  <si>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</si>
  <si>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</si>
  <si>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</si>
  <si>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</si>
  <si>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</si>
  <si>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</si>
  <si>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</si>
  <si>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</si>
  <si>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</si>
  <si>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</si>
  <si>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</si>
  <si>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</si>
  <si>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</si>
  <si>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</si>
  <si>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</si>
  <si>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</si>
  <si>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</si>
  <si>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</si>
  <si>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</si>
  <si>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</si>
  <si>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</si>
  <si>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</si>
  <si>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</si>
  <si>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</si>
  <si>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</si>
  <si>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</si>
  <si>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</si>
  <si>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</si>
  <si>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</si>
  <si>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</si>
  <si>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</si>
  <si>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</si>
  <si>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</si>
  <si>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</si>
  <si>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</si>
  <si>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</si>
  <si>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</si>
  <si>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</si>
  <si>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</si>
  <si>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</si>
  <si>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</si>
  <si>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</si>
  <si>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</si>
  <si>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</si>
  <si>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</si>
  <si>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</si>
  <si>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</si>
  <si>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</si>
  <si>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</si>
  <si>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</si>
  <si>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</si>
  <si>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</si>
  <si>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</si>
  <si>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</si>
  <si>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</si>
  <si>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</si>
  <si>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</si>
  <si>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</si>
  <si>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</si>
  <si>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</si>
  <si>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</si>
  <si>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</si>
  <si>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</si>
  <si>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</si>
  <si>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</si>
  <si>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</si>
  <si>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</si>
  <si>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</si>
  <si>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</si>
  <si>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</si>
  <si>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</si>
  <si>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</si>
  <si>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</si>
  <si>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</si>
  <si>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</si>
  <si>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</si>
  <si>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</si>
  <si>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</si>
  <si>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</si>
  <si>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</si>
  <si>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</si>
  <si>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</si>
  <si>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</si>
  <si>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</si>
  <si>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</si>
  <si>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</si>
  <si>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</si>
  <si>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</si>
  <si>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</si>
  <si>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</si>
  <si>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</si>
  <si>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</si>
  <si>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</si>
  <si>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</si>
  <si>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</si>
  <si>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</si>
  <si>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</si>
  <si>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</si>
  <si>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</si>
  <si>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</si>
  <si>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</si>
  <si>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</si>
  <si>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</si>
  <si>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</si>
  <si>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</si>
  <si>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</si>
  <si>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</si>
  <si>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</si>
  <si>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</si>
  <si>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</si>
  <si>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</si>
  <si>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</si>
  <si>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</si>
  <si>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</si>
  <si>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</si>
  <si>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</si>
  <si>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</si>
  <si>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</si>
  <si>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</si>
  <si>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</si>
  <si>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</si>
  <si>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</si>
  <si>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</si>
  <si>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</si>
  <si>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</si>
  <si>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</si>
  <si>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</si>
  <si>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</si>
  <si>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</si>
  <si>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</si>
  <si>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</si>
  <si>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</si>
  <si>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</si>
  <si>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</si>
  <si>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</si>
  <si>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</si>
  <si>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</si>
  <si>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</si>
  <si>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</si>
  <si>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</si>
  <si>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</si>
  <si>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</si>
  <si>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</si>
  <si>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</si>
  <si>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</si>
  <si>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</si>
  <si>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</si>
  <si>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</si>
  <si>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</si>
  <si>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</si>
  <si>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</si>
  <si>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</si>
  <si>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</si>
  <si>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</si>
  <si>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</si>
  <si>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</si>
  <si>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</si>
  <si>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</si>
  <si>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</si>
  <si>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</si>
  <si>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</si>
  <si>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</si>
  <si>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</si>
  <si>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</si>
  <si>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</si>
  <si>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</si>
  <si>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</si>
  <si>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</si>
  <si>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</si>
  <si>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</si>
  <si>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</si>
  <si>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</si>
  <si>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</si>
  <si>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</si>
  <si>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</si>
  <si>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</si>
  <si>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</si>
  <si>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</si>
  <si>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</si>
  <si>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</si>
  <si>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</si>
  <si>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</si>
  <si>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</si>
  <si>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</si>
  <si>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</si>
  <si>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</si>
  <si>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</si>
  <si>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</si>
  <si>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</si>
  <si>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</si>
  <si>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</si>
  <si>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</si>
  <si>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</si>
  <si>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</si>
  <si>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</si>
  <si>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</si>
  <si>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</si>
  <si>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</si>
  <si>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</si>
  <si>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</si>
  <si>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</si>
  <si>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</si>
  <si>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</si>
  <si>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</si>
  <si>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</si>
  <si>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</si>
  <si>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</si>
  <si>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</si>
  <si>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</si>
  <si>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</si>
  <si>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</si>
  <si>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</si>
  <si>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</si>
  <si>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</si>
  <si>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</si>
  <si>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</si>
  <si>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</si>
  <si>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</si>
  <si>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</si>
  <si>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</si>
  <si>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</si>
  <si>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</si>
  <si>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</si>
  <si>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</si>
  <si>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</si>
  <si>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</si>
  <si>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</si>
  <si>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</si>
  <si>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</si>
  <si>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</si>
  <si>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</si>
  <si>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</si>
  <si>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</si>
  <si>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</si>
  <si>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</si>
  <si>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</si>
  <si>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</si>
  <si>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</si>
  <si>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</si>
  <si>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</si>
  <si>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</si>
  <si>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</si>
  <si>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</si>
  <si>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</si>
  <si>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</si>
  <si>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</si>
  <si>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</si>
  <si>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</si>
  <si>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</si>
  <si>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</si>
  <si>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</si>
  <si>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</si>
  <si>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</si>
  <si>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</si>
  <si>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</si>
  <si>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</si>
  <si>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</si>
  <si>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</si>
  <si>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</si>
  <si>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</si>
  <si>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</si>
  <si>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</si>
  <si>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</si>
  <si>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</si>
  <si>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</si>
  <si>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</si>
  <si>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</si>
  <si>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</si>
  <si>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</si>
  <si>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</si>
  <si>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</si>
  <si>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</si>
  <si>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</si>
  <si>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</si>
  <si>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</si>
  <si>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</si>
  <si>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</si>
  <si>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</si>
  <si>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</si>
  <si>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</si>
  <si>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</si>
  <si>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</si>
  <si>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</si>
  <si>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</si>
  <si>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</si>
  <si>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</si>
  <si>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</si>
  <si>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</si>
  <si>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</si>
  <si>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</si>
  <si>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</si>
  <si>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</si>
  <si>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</si>
  <si>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</si>
  <si>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</si>
  <si>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</si>
  <si>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</si>
  <si>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</si>
  <si>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</si>
  <si>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</si>
  <si>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</si>
  <si>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</si>
  <si>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</si>
  <si>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</si>
  <si>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</si>
  <si>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</si>
  <si>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</si>
  <si>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</si>
  <si>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</si>
  <si>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</si>
  <si>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</si>
  <si>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</si>
  <si>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</si>
  <si>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</si>
  <si>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</si>
  <si>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</si>
  <si>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</si>
  <si>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</si>
  <si>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</si>
  <si>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</si>
  <si>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</si>
  <si>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</si>
  <si>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</si>
  <si>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</si>
  <si>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</si>
  <si>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</si>
  <si>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</si>
  <si>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</si>
  <si>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</si>
  <si>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</si>
  <si>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</si>
  <si>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</si>
  <si>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</si>
  <si>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</si>
  <si>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</si>
  <si>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</si>
  <si>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</si>
  <si>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</si>
  <si>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</si>
  <si>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</si>
  <si>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</si>
  <si>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</si>
  <si>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</si>
  <si>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</si>
  <si>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</si>
  <si>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</si>
  <si>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</si>
  <si>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</si>
  <si>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</si>
  <si>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</si>
  <si>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</si>
  <si>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</si>
  <si>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</si>
  <si>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</si>
  <si>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</si>
  <si>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</si>
  <si>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</si>
  <si>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</si>
  <si>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</si>
  <si>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</si>
  <si>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</si>
  <si>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</si>
  <si>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</si>
  <si>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</si>
  <si>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</si>
  <si>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</si>
  <si>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</si>
  <si>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</si>
  <si>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</si>
  <si>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</si>
  <si>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</si>
  <si>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</si>
  <si>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</si>
  <si>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</si>
  <si>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</si>
  <si>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</si>
  <si>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</si>
  <si>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</si>
  <si>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</si>
  <si>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</si>
  <si>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</si>
  <si>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</si>
  <si>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</si>
  <si>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</si>
  <si>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</si>
  <si>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</si>
  <si>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</si>
  <si>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</si>
  <si>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</si>
  <si>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</si>
  <si>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</si>
  <si>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</si>
  <si>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</si>
  <si>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</si>
  <si>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</si>
  <si>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</si>
  <si>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</si>
  <si>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</si>
  <si>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</si>
  <si>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</si>
  <si>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</si>
  <si>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</si>
  <si>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</si>
  <si>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</si>
  <si>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</si>
  <si>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</si>
  <si>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</si>
  <si>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</si>
  <si>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</si>
  <si>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</si>
  <si>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</si>
  <si>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</si>
  <si>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</si>
  <si>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</si>
  <si>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</si>
  <si>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</si>
  <si>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</si>
  <si>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</si>
  <si>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</si>
  <si>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</si>
  <si>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</si>
  <si>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</si>
  <si>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</si>
  <si>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</si>
  <si>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</si>
  <si>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</si>
  <si>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</si>
  <si>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</si>
  <si>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</si>
  <si>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</si>
  <si>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</si>
  <si>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</si>
  <si>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</si>
  <si>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</si>
  <si>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</si>
  <si>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</si>
  <si>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</si>
  <si>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</si>
  <si>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</si>
  <si>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</si>
  <si>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</si>
  <si>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</si>
  <si>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</si>
  <si>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</si>
  <si>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</si>
  <si>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</si>
  <si>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</si>
  <si>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</si>
  <si>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</si>
  <si>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</si>
  <si>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</si>
  <si>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</si>
  <si>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</si>
  <si>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</si>
  <si>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</si>
  <si>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</si>
  <si>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</si>
  <si>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</si>
  <si>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</si>
  <si>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</si>
  <si>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</si>
  <si>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</si>
  <si>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</si>
  <si>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</si>
  <si>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</si>
  <si>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</si>
  <si>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</si>
  <si>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</si>
  <si>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</si>
  <si>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</si>
  <si>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</si>
  <si>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</si>
  <si>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</si>
  <si>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</si>
  <si>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</si>
  <si>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</si>
  <si>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</si>
  <si>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</si>
  <si>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</si>
  <si>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</si>
  <si>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</si>
  <si>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</si>
  <si>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</si>
  <si>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</si>
  <si>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</si>
  <si>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</si>
  <si>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</si>
  <si>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</si>
  <si>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</si>
  <si>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</si>
  <si>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</si>
  <si>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</si>
  <si>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</si>
  <si>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</si>
  <si>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</si>
  <si>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rc1</t>
  </si>
  <si>
    <t>rc2</t>
  </si>
  <si>
    <t>rc3</t>
  </si>
  <si>
    <t>rc4</t>
  </si>
  <si>
    <t>rc5</t>
  </si>
  <si>
    <t>rc6</t>
  </si>
  <si>
    <t>rc7</t>
  </si>
  <si>
    <t>rc8</t>
  </si>
  <si>
    <t>Final</t>
  </si>
  <si>
    <t>Client Reported</t>
  </si>
  <si>
    <t>rc9</t>
  </si>
  <si>
    <t>Brad Roggow </t>
  </si>
  <si>
    <t>4.6.57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</si>
</sst>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_);[Red]\(0.00\)"/>
    <numFmt numFmtId="165" formatCode="[$-409]dd\-mmm\-yy;@"/>
    <numFmt numFmtId="166" formatCode="mm/dd/yy\ &quot;@&quot;\ hh:mm:ss"/>
  </numFmts>
  <fonts count="38">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
      <sz val="11"/>
      <color rgb="FF444444"/>
      <name val="Arial"/>
      <family val="2"/>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5">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0" xfId="0" applyFill="1" applyBorder="1" applyAlignment="1">
      <alignment horizontal="left" vertical="center"/>
    </xf>
    <xf numFmtId="0" fontId="0" fillId="0" borderId="10" xfId="0" applyFont="1" applyFill="1" applyBorder="1" applyAlignment="1" applyProtection="1">
      <alignment horizontal="left" vertical="center"/>
    </xf>
    <xf numFmtId="0" fontId="0" fillId="0" borderId="1" xfId="0" applyFill="1" applyBorder="1" applyAlignment="1" applyProtection="1">
      <alignment horizontal="left" vertical="center"/>
      <protection locked="0"/>
    </xf>
    <xf numFmtId="0" fontId="0" fillId="5" borderId="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0" fontId="0" fillId="0" borderId="10" xfId="0" applyFill="1" applyBorder="1" applyAlignment="1" applyProtection="1">
      <alignment horizontal="left" vertical="center"/>
      <protection locked="0"/>
    </xf>
    <xf numFmtId="0" fontId="0" fillId="5" borderId="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0"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xf numFmtId="0" fontId="37" fillId="0" borderId="0" xfId="0" applyFont="1"/>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ext xmlns:c16="http://schemas.microsoft.com/office/drawing/2014/chart" uri="{C3380CC4-5D6E-409C-BE32-E72D297353CC}">
              <c16:uniqueId val="{00000000-CADA-4859-BEBD-7242CBC8185D}"/>
            </c:ext>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ext xmlns:c16="http://schemas.microsoft.com/office/drawing/2014/chart" uri="{C3380CC4-5D6E-409C-BE32-E72D297353CC}">
              <c16:uniqueId val="{00000001-CADA-4859-BEBD-7242CBC8185D}"/>
            </c:ext>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ext xmlns:c16="http://schemas.microsoft.com/office/drawing/2014/chart" uri="{C3380CC4-5D6E-409C-BE32-E72D297353CC}">
              <c16:uniqueId val="{00000002-CADA-4859-BEBD-7242CBC8185D}"/>
            </c:ext>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ext xmlns:c16="http://schemas.microsoft.com/office/drawing/2014/chart" uri="{C3380CC4-5D6E-409C-BE32-E72D297353CC}">
              <c16:uniqueId val="{00000003-CADA-4859-BEBD-7242CBC8185D}"/>
            </c:ext>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ext xmlns:c16="http://schemas.microsoft.com/office/drawing/2014/chart" uri="{C3380CC4-5D6E-409C-BE32-E72D297353CC}">
              <c16:uniqueId val="{00000004-CADA-4859-BEBD-7242CBC8185D}"/>
            </c:ext>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extLst>
            <c:ext xmlns:c16="http://schemas.microsoft.com/office/drawing/2014/chart" uri="{C3380CC4-5D6E-409C-BE32-E72D297353CC}">
              <c16:uniqueId val="{00000005-CADA-4859-BEBD-7242CBC8185D}"/>
            </c:ext>
          </c:extLst>
        </c:ser>
        <c:dLbls>
          <c:showLegendKey val="0"/>
          <c:showVal val="0"/>
          <c:showCatName val="0"/>
          <c:showSerName val="0"/>
          <c:showPercent val="0"/>
          <c:showBubbleSize val="0"/>
        </c:dLbls>
        <c:smooth val="0"/>
        <c:axId val="297519520"/>
        <c:axId val="297520080"/>
      </c:lineChart>
      <c:dateAx>
        <c:axId val="297519520"/>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520080"/>
        <c:crosses val="autoZero"/>
        <c:auto val="1"/>
        <c:lblOffset val="100"/>
        <c:baseTimeUnit val="days"/>
      </c:dateAx>
      <c:valAx>
        <c:axId val="29752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519520"/>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zoomScaleNormal="100" workbookViewId="0">
      <selection activeCell="B7" sqref="B7"/>
    </sheetView>
  </sheetViews>
  <sheetFormatPr defaultRowHeight="1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c r="A1" s="222"/>
      <c r="B1" s="231" t="str">
        <f ca="1">MID(CELL("filename",A1),FIND("]",CELL("filename",A1))+1,255)</f>
        <v>ProjectSummary</v>
      </c>
      <c r="C1" s="225"/>
      <c r="D1" s="225" t="str">
        <f>CONCATENATE(UPPER(C4)," - ",C5," ",C6,"/",C7)</f>
        <v xml:space="preserve"> -  /</v>
      </c>
      <c r="E1" s="225"/>
      <c r="F1" s="225"/>
      <c r="G1" s="225"/>
      <c r="H1" s="225"/>
      <c r="I1" s="225"/>
      <c r="J1" s="225"/>
      <c r="K1" s="225"/>
      <c r="L1" s="225"/>
      <c r="M1" s="225"/>
      <c r="N1" s="225"/>
      <c r="O1" s="225"/>
      <c r="P1" s="225"/>
      <c r="Q1" s="225"/>
      <c r="R1" s="225"/>
      <c r="S1" s="225"/>
      <c r="T1" s="224"/>
      <c r="U1" s="271" t="s">
        <v>529</v>
      </c>
    </row>
    <row r="2" spans="1:21" ht="15.75" thickTop="1">
      <c r="A2" s="163"/>
      <c r="B2" s="161" t="str">
        <f ca="1">MID(SUBSTITUTE(CELL("filename",A1),"[",""),1,FIND("]",CELL("filename",A1))-1)</f>
        <v>Y:\tools\workbooks\QATracking.xltm]</v>
      </c>
      <c r="C2" s="162"/>
      <c r="D2" s="162"/>
      <c r="E2" s="162"/>
      <c r="F2" s="163"/>
      <c r="G2" s="163"/>
      <c r="H2" s="163"/>
      <c r="I2" s="163"/>
      <c r="J2" s="163"/>
      <c r="K2" s="163"/>
      <c r="L2" s="163"/>
      <c r="M2" s="164"/>
      <c r="N2" s="163"/>
      <c r="O2" s="163"/>
      <c r="P2" s="163"/>
      <c r="Q2" s="163"/>
      <c r="R2" s="163"/>
      <c r="S2" s="163"/>
      <c r="T2" s="163"/>
      <c r="U2" s="163"/>
    </row>
    <row r="3" spans="1:21">
      <c r="A3" s="163"/>
      <c r="B3" s="278"/>
      <c r="C3" s="278"/>
      <c r="D3" s="278"/>
      <c r="E3" s="254"/>
      <c r="F3" s="163"/>
      <c r="G3" s="163"/>
      <c r="H3" s="163"/>
      <c r="I3" s="163"/>
      <c r="J3" s="163"/>
      <c r="K3" s="163"/>
      <c r="L3" s="163"/>
      <c r="M3" s="163"/>
      <c r="N3" s="163"/>
      <c r="O3" s="163"/>
      <c r="P3" s="163"/>
      <c r="Q3" s="163"/>
      <c r="R3" s="163"/>
      <c r="S3" s="163"/>
      <c r="T3" s="163"/>
      <c r="U3" s="163"/>
    </row>
    <row r="4" spans="1:21">
      <c r="A4" s="163"/>
      <c r="B4" s="166" t="s">
        <v>193</v>
      </c>
      <c r="C4" s="277"/>
      <c r="D4" s="277"/>
      <c r="E4" s="268"/>
      <c r="F4" s="163"/>
      <c r="G4" s="163"/>
      <c r="H4" s="163"/>
      <c r="I4" s="163"/>
      <c r="J4" s="163"/>
      <c r="K4" s="163"/>
      <c r="L4" s="163"/>
      <c r="M4" s="163"/>
      <c r="N4" s="163"/>
      <c r="O4" s="163"/>
      <c r="P4" s="163"/>
      <c r="Q4" s="163"/>
      <c r="R4" s="163"/>
      <c r="S4" s="163"/>
      <c r="T4" s="163"/>
      <c r="U4" s="163"/>
    </row>
    <row r="5" spans="1:21">
      <c r="A5" s="163"/>
      <c r="B5" s="167" t="s">
        <v>90</v>
      </c>
      <c r="C5" s="275"/>
      <c r="D5" s="275"/>
      <c r="E5" s="268"/>
      <c r="F5" s="163"/>
      <c r="G5" s="163"/>
      <c r="H5" s="163"/>
      <c r="I5" s="163"/>
      <c r="J5" s="163"/>
      <c r="K5" s="163"/>
      <c r="L5" s="163"/>
      <c r="M5" s="163"/>
      <c r="N5" s="163"/>
      <c r="O5" s="163"/>
      <c r="P5" s="163"/>
      <c r="Q5" s="163"/>
      <c r="R5" s="163"/>
      <c r="S5" s="163"/>
      <c r="T5" s="163"/>
      <c r="U5" s="163"/>
    </row>
    <row r="6" spans="1:21">
      <c r="A6" s="163"/>
      <c r="B6" s="273" t="s">
        <v>186</v>
      </c>
      <c r="C6" s="280"/>
      <c r="D6" s="280"/>
      <c r="E6" s="268"/>
      <c r="F6" s="163"/>
      <c r="G6" s="163"/>
      <c r="H6" s="163"/>
      <c r="I6" s="163"/>
      <c r="J6" s="163"/>
      <c r="K6" s="163"/>
      <c r="L6" s="163"/>
      <c r="M6" s="163"/>
      <c r="N6" s="163"/>
      <c r="O6" s="163"/>
      <c r="P6" s="163"/>
      <c r="Q6" s="163"/>
      <c r="R6" s="163"/>
      <c r="S6" s="163"/>
      <c r="T6" s="163"/>
      <c r="U6" s="163"/>
    </row>
    <row r="7" spans="1:21">
      <c r="A7" s="163"/>
      <c r="B7" s="276"/>
      <c r="C7" s="276"/>
      <c r="D7" s="276"/>
      <c r="E7" s="268"/>
      <c r="F7" s="163"/>
      <c r="G7" s="163"/>
      <c r="H7" s="163"/>
      <c r="I7" s="163"/>
      <c r="J7" s="163"/>
      <c r="K7" s="163"/>
      <c r="L7" s="163"/>
      <c r="M7" s="163"/>
      <c r="N7" s="163"/>
      <c r="O7" s="163"/>
      <c r="P7" s="163"/>
      <c r="Q7" s="163"/>
      <c r="R7" s="163"/>
      <c r="S7" s="163"/>
      <c r="T7" s="163"/>
      <c r="U7" s="163"/>
    </row>
    <row r="8" spans="1:21">
      <c r="A8" s="163"/>
      <c r="B8" s="276"/>
      <c r="C8" s="276"/>
      <c r="D8" s="276"/>
      <c r="E8" s="255"/>
      <c r="F8" s="163"/>
      <c r="G8" s="163"/>
      <c r="H8" s="163"/>
      <c r="I8" s="163"/>
      <c r="J8" s="163"/>
      <c r="K8" s="163"/>
      <c r="L8" s="163"/>
      <c r="M8" s="163"/>
      <c r="N8" s="163"/>
      <c r="O8" s="163"/>
      <c r="P8" s="163"/>
      <c r="Q8" s="163"/>
      <c r="R8" s="163"/>
      <c r="S8" s="163"/>
      <c r="T8" s="163"/>
      <c r="U8" s="163"/>
    </row>
    <row r="9" spans="1:21">
      <c r="A9" s="163"/>
      <c r="B9" s="168" t="s">
        <v>507</v>
      </c>
      <c r="C9" s="277"/>
      <c r="D9" s="277"/>
      <c r="E9" s="268"/>
      <c r="F9" s="163"/>
      <c r="G9" s="163"/>
      <c r="H9" s="163"/>
      <c r="I9" s="163"/>
      <c r="J9" s="163"/>
      <c r="K9" s="163"/>
      <c r="L9" s="163"/>
      <c r="M9" s="163"/>
      <c r="N9" s="163"/>
      <c r="O9" s="163"/>
      <c r="P9" s="163"/>
      <c r="Q9" s="163"/>
      <c r="R9" s="163"/>
      <c r="S9" s="163"/>
      <c r="T9" s="163"/>
      <c r="U9" s="163"/>
    </row>
    <row r="10" spans="1:21">
      <c r="A10" s="163"/>
      <c r="B10" s="168" t="s">
        <v>72</v>
      </c>
      <c r="C10" s="275"/>
      <c r="D10" s="275"/>
      <c r="E10" s="268"/>
      <c r="F10" s="163"/>
      <c r="G10" s="163"/>
      <c r="H10" s="163"/>
      <c r="I10" s="163"/>
      <c r="J10" s="163"/>
      <c r="K10" s="163"/>
      <c r="L10" s="163"/>
      <c r="M10" s="163"/>
      <c r="N10" s="163"/>
      <c r="O10" s="163"/>
      <c r="P10" s="163"/>
      <c r="Q10" s="163"/>
      <c r="R10" s="163"/>
      <c r="S10" s="163"/>
      <c r="T10" s="163"/>
      <c r="U10" s="163"/>
    </row>
    <row r="11" spans="1:21">
      <c r="A11" s="163"/>
      <c r="B11" s="274" t="s">
        <v>194</v>
      </c>
      <c r="C11" s="280"/>
      <c r="D11" s="280"/>
      <c r="E11" s="268"/>
      <c r="F11" s="165"/>
      <c r="G11" s="163"/>
      <c r="H11" s="163"/>
      <c r="I11" s="163"/>
      <c r="J11" s="163"/>
      <c r="K11" s="163"/>
      <c r="L11" s="163"/>
      <c r="M11" s="163"/>
      <c r="N11" s="163"/>
      <c r="O11" s="163"/>
      <c r="P11" s="163"/>
      <c r="Q11" s="163"/>
      <c r="R11" s="163"/>
      <c r="S11" s="163"/>
      <c r="T11" s="163"/>
      <c r="U11" s="163"/>
    </row>
    <row r="12" spans="1:21">
      <c r="A12" s="163"/>
      <c r="B12" s="281"/>
      <c r="C12" s="281"/>
      <c r="D12" s="281"/>
      <c r="E12" s="254"/>
      <c r="F12" s="165"/>
      <c r="G12" s="163"/>
      <c r="H12" s="163"/>
      <c r="I12" s="163"/>
      <c r="J12" s="163"/>
      <c r="K12" s="163"/>
      <c r="L12" s="163"/>
      <c r="M12" s="163"/>
      <c r="N12" s="163"/>
      <c r="O12" s="163"/>
      <c r="P12" s="163"/>
      <c r="Q12" s="163"/>
      <c r="R12" s="163"/>
      <c r="S12" s="163"/>
      <c r="T12" s="163"/>
      <c r="U12" s="163"/>
    </row>
    <row r="13" spans="1:21">
      <c r="A13" s="163"/>
      <c r="B13" s="168" t="s">
        <v>56</v>
      </c>
      <c r="C13" s="282"/>
      <c r="D13" s="282"/>
      <c r="E13" s="269"/>
      <c r="F13" s="165"/>
      <c r="G13" s="163"/>
      <c r="H13" s="163"/>
      <c r="I13" s="163"/>
      <c r="J13" s="163"/>
      <c r="K13" s="163"/>
      <c r="L13" s="163"/>
      <c r="M13" s="163"/>
      <c r="N13" s="163"/>
      <c r="O13" s="163"/>
      <c r="P13" s="163"/>
      <c r="Q13" s="163"/>
      <c r="R13" s="163"/>
      <c r="S13" s="163"/>
      <c r="T13" s="163"/>
      <c r="U13" s="163"/>
    </row>
    <row r="14" spans="1:21">
      <c r="A14" s="163"/>
      <c r="B14" s="168" t="s">
        <v>88</v>
      </c>
      <c r="C14" s="284"/>
      <c r="D14" s="284"/>
      <c r="E14" s="270"/>
      <c r="F14" s="165"/>
      <c r="G14" s="163"/>
      <c r="H14" s="163"/>
      <c r="I14" s="163"/>
      <c r="J14" s="163"/>
      <c r="K14" s="163"/>
      <c r="L14" s="163"/>
      <c r="M14" s="163"/>
      <c r="N14" s="163"/>
      <c r="O14" s="163"/>
      <c r="P14" s="163"/>
      <c r="Q14" s="163"/>
      <c r="R14" s="163"/>
      <c r="S14" s="163"/>
      <c r="T14" s="163"/>
      <c r="U14" s="163"/>
    </row>
    <row r="15" spans="1:21">
      <c r="A15" s="163"/>
      <c r="B15" s="274" t="s">
        <v>57</v>
      </c>
      <c r="C15" s="283"/>
      <c r="D15" s="283"/>
      <c r="E15" s="269"/>
      <c r="F15" s="165"/>
      <c r="G15" s="163"/>
      <c r="H15" s="163"/>
      <c r="I15" s="163"/>
      <c r="J15" s="163"/>
      <c r="K15" s="163"/>
      <c r="L15" s="163"/>
      <c r="M15" s="163"/>
      <c r="N15" s="163"/>
      <c r="O15" s="163"/>
      <c r="P15" s="163"/>
      <c r="Q15" s="163"/>
      <c r="R15" s="163"/>
      <c r="S15" s="163"/>
      <c r="T15" s="163"/>
      <c r="U15" s="163"/>
    </row>
    <row r="16" spans="1:21" ht="27.75" customHeight="1">
      <c r="A16" s="163"/>
      <c r="B16" s="281"/>
      <c r="C16" s="281"/>
      <c r="D16" s="281"/>
      <c r="E16" s="254"/>
      <c r="F16" s="165"/>
      <c r="G16" s="163"/>
      <c r="H16" s="163"/>
      <c r="I16" s="163"/>
      <c r="J16" s="163"/>
      <c r="K16" s="163"/>
      <c r="L16" s="163"/>
      <c r="M16" s="163"/>
      <c r="N16" s="163"/>
      <c r="O16" s="163"/>
      <c r="P16" s="163"/>
      <c r="Q16" s="163"/>
      <c r="R16" s="163"/>
      <c r="S16" s="163"/>
      <c r="T16" s="163"/>
      <c r="U16" s="163"/>
    </row>
    <row r="17" spans="1:21">
      <c r="A17" s="163"/>
      <c r="B17" s="272" t="s">
        <v>84</v>
      </c>
      <c r="C17" s="170">
        <f ca="1">COUNT(INDIRECT("TestingDetail!A:A"))</f>
        <v>0</v>
      </c>
      <c r="D17" s="171"/>
      <c r="E17" s="171"/>
      <c r="F17" s="165"/>
      <c r="G17" s="163"/>
      <c r="H17" s="163"/>
      <c r="I17" s="163"/>
      <c r="J17" s="163"/>
      <c r="K17" s="163"/>
      <c r="L17" s="163"/>
      <c r="M17" s="163"/>
      <c r="N17" s="163"/>
      <c r="O17" s="163"/>
      <c r="P17" s="163"/>
      <c r="Q17" s="163"/>
      <c r="R17" s="163"/>
      <c r="S17" s="163"/>
      <c r="T17" s="163"/>
      <c r="U17" s="163"/>
    </row>
    <row r="18" spans="1:21" ht="17.25">
      <c r="A18" s="163"/>
      <c r="B18" s="169" t="s">
        <v>118</v>
      </c>
      <c r="C18" s="172" t="e">
        <f ca="1">SUM(COUNTIFS(INDIRECT("TestingDetail!D:D"),{"PASSED*","FAILED*","WAITING*"}))</f>
        <v>#REF!</v>
      </c>
      <c r="D18" s="173" t="e">
        <f ca="1">C18/C17</f>
        <v>#REF!</v>
      </c>
      <c r="E18" s="265">
        <v>1</v>
      </c>
      <c r="F18" s="165"/>
      <c r="G18" s="163"/>
      <c r="H18" s="163"/>
      <c r="I18" s="163"/>
      <c r="J18" s="163"/>
      <c r="K18" s="163"/>
      <c r="L18" s="163"/>
      <c r="M18" s="163"/>
      <c r="N18" s="163"/>
      <c r="O18" s="163"/>
      <c r="P18" s="163"/>
      <c r="Q18" s="163"/>
      <c r="R18" s="163"/>
      <c r="S18" s="163"/>
      <c r="T18" s="163"/>
      <c r="U18" s="163"/>
    </row>
    <row r="19" spans="1:21" ht="17.25">
      <c r="A19" s="163"/>
      <c r="B19" s="169" t="s">
        <v>119</v>
      </c>
      <c r="C19" s="172" t="e">
        <f ca="1">C17-C18</f>
        <v>#REF!</v>
      </c>
      <c r="D19" s="173" t="e">
        <f ca="1">C19/C17</f>
        <v>#REF!</v>
      </c>
      <c r="E19" s="265">
        <v>2</v>
      </c>
      <c r="F19" s="165"/>
      <c r="G19" s="163"/>
      <c r="H19" s="163"/>
      <c r="I19" s="163"/>
      <c r="J19" s="163"/>
      <c r="K19" s="163"/>
      <c r="L19" s="163"/>
      <c r="M19" s="163"/>
      <c r="N19" s="163"/>
      <c r="O19" s="163"/>
      <c r="P19" s="163"/>
      <c r="Q19" s="163"/>
      <c r="R19" s="163"/>
      <c r="S19" s="163"/>
      <c r="T19" s="163"/>
      <c r="U19" s="163"/>
    </row>
    <row r="20" spans="1:21" ht="17.25">
      <c r="A20" s="163"/>
      <c r="B20" s="169" t="s">
        <v>120</v>
      </c>
      <c r="C20" s="172" t="e">
        <f ca="1">COUNTIF(INDIRECT("TestingDetail!D:D"),"PASSED*")</f>
        <v>#REF!</v>
      </c>
      <c r="D20" s="173" t="e">
        <f ca="1">IF(C18&lt;&gt;0,C20/C18,0)</f>
        <v>#REF!</v>
      </c>
      <c r="E20" s="256">
        <v>2</v>
      </c>
      <c r="F20" s="163"/>
      <c r="G20" s="163"/>
      <c r="H20" s="163"/>
      <c r="I20" s="163"/>
      <c r="J20" s="163"/>
      <c r="K20" s="163"/>
      <c r="L20" s="163"/>
      <c r="M20" s="163"/>
      <c r="N20" s="163"/>
      <c r="O20" s="163"/>
      <c r="P20" s="163"/>
      <c r="Q20" s="163"/>
      <c r="R20" s="163"/>
      <c r="S20" s="163"/>
      <c r="T20" s="163"/>
      <c r="U20" s="163"/>
    </row>
    <row r="21" spans="1:21" ht="17.25">
      <c r="A21" s="163"/>
      <c r="B21" s="169" t="s">
        <v>121</v>
      </c>
      <c r="C21" s="172" t="e">
        <f ca="1">COUNTIF(INDIRECT("TestingDetail!D:D"),"FAILED*")</f>
        <v>#REF!</v>
      </c>
      <c r="D21" s="173" t="e">
        <f ca="1">IF(C18&lt;&gt;0,C21/C18,0)</f>
        <v>#REF!</v>
      </c>
      <c r="E21" s="256">
        <v>2</v>
      </c>
      <c r="F21" s="163"/>
      <c r="G21" s="163"/>
      <c r="H21" s="163"/>
      <c r="I21" s="163"/>
      <c r="J21" s="163"/>
      <c r="K21" s="163"/>
      <c r="L21" s="163"/>
      <c r="M21" s="163"/>
      <c r="N21" s="163"/>
      <c r="O21" s="163"/>
      <c r="P21" s="163"/>
      <c r="Q21" s="163"/>
      <c r="R21" s="163"/>
      <c r="S21" s="163"/>
      <c r="T21" s="163"/>
      <c r="U21" s="163"/>
    </row>
    <row r="22" spans="1:21" ht="17.25">
      <c r="A22" s="163"/>
      <c r="B22" s="174" t="s">
        <v>85</v>
      </c>
      <c r="C22" s="172" t="e">
        <f ca="1">COUNTIF(INDIRECT("TestingDetail!D:D"),"FAILED - CSM")</f>
        <v>#REF!</v>
      </c>
      <c r="D22" s="258"/>
      <c r="E22" s="257"/>
      <c r="F22" s="163"/>
      <c r="G22" s="163"/>
      <c r="H22" s="163"/>
      <c r="I22" s="163"/>
      <c r="J22" s="163"/>
      <c r="K22" s="163"/>
      <c r="L22" s="163"/>
      <c r="M22" s="163"/>
      <c r="N22" s="163"/>
      <c r="O22" s="163"/>
      <c r="P22" s="163"/>
      <c r="Q22" s="163"/>
      <c r="R22" s="163"/>
      <c r="S22" s="163"/>
      <c r="T22" s="163"/>
      <c r="U22" s="163"/>
    </row>
    <row r="23" spans="1:21" ht="17.25">
      <c r="A23" s="163"/>
      <c r="B23" s="174" t="s">
        <v>64</v>
      </c>
      <c r="C23" s="172" t="e">
        <f ca="1">COUNTIF(INDIRECT("TestingDetail!D:D"),"FAILED - DEV")</f>
        <v>#REF!</v>
      </c>
      <c r="D23" s="266"/>
      <c r="E23" s="257"/>
      <c r="F23" s="163"/>
      <c r="G23" s="163"/>
      <c r="H23" s="163"/>
      <c r="I23" s="163"/>
      <c r="J23" s="163"/>
      <c r="K23" s="163"/>
      <c r="L23" s="163"/>
      <c r="M23" s="163"/>
      <c r="N23" s="163"/>
      <c r="O23" s="163"/>
      <c r="P23" s="163"/>
      <c r="Q23" s="163"/>
      <c r="R23" s="163"/>
      <c r="S23" s="163"/>
      <c r="T23" s="163"/>
      <c r="U23" s="163"/>
    </row>
    <row r="24" spans="1:21" ht="17.25">
      <c r="A24" s="163"/>
      <c r="B24" s="169" t="s">
        <v>122</v>
      </c>
      <c r="C24" s="172" t="e">
        <f ca="1">COUNTIF(INDIRECT("TestingDetail!D:D"),"WAITING*")</f>
        <v>#REF!</v>
      </c>
      <c r="D24" s="173" t="e">
        <f ca="1">IF(C18&lt;&gt;0,C24/C18,0)</f>
        <v>#REF!</v>
      </c>
      <c r="E24" s="265">
        <v>2</v>
      </c>
      <c r="F24" s="163"/>
      <c r="G24" s="163"/>
      <c r="H24" s="163"/>
      <c r="I24" s="163"/>
      <c r="J24" s="163"/>
      <c r="K24" s="163"/>
      <c r="L24" s="163"/>
      <c r="M24" s="163"/>
      <c r="N24" s="163"/>
      <c r="O24" s="163"/>
      <c r="P24" s="163"/>
      <c r="Q24" s="163"/>
      <c r="R24" s="163"/>
      <c r="S24" s="163"/>
      <c r="T24" s="163"/>
      <c r="U24" s="163"/>
    </row>
    <row r="25" spans="1:21" ht="17.25">
      <c r="A25" s="163"/>
      <c r="B25" s="175" t="s">
        <v>85</v>
      </c>
      <c r="C25" s="172" t="e">
        <f ca="1">COUNTIF(INDIRECT("TestingDetail!D:D"),"WAITING - CSM")</f>
        <v>#REF!</v>
      </c>
      <c r="D25" s="258"/>
      <c r="E25" s="257"/>
      <c r="F25" s="163"/>
      <c r="G25" s="163"/>
      <c r="H25" s="163"/>
      <c r="I25" s="163"/>
      <c r="J25" s="163"/>
      <c r="K25" s="163"/>
      <c r="L25" s="163"/>
      <c r="M25" s="163"/>
      <c r="N25" s="163"/>
      <c r="O25" s="163"/>
      <c r="P25" s="163"/>
      <c r="Q25" s="163"/>
      <c r="R25" s="163"/>
      <c r="S25" s="163"/>
      <c r="T25" s="163"/>
      <c r="U25" s="163"/>
    </row>
    <row r="26" spans="1:21" ht="17.25">
      <c r="A26" s="163"/>
      <c r="B26" s="175" t="s">
        <v>64</v>
      </c>
      <c r="C26" s="172" t="e">
        <f ca="1">COUNTIF(INDIRECT("TestingDetail!D:D"),"WAITING - DEV")</f>
        <v>#REF!</v>
      </c>
      <c r="D26" s="176"/>
      <c r="E26" s="257"/>
      <c r="F26" s="163"/>
      <c r="G26" s="163"/>
      <c r="H26" s="163"/>
      <c r="I26" s="163"/>
      <c r="J26" s="163"/>
      <c r="K26" s="163"/>
      <c r="L26" s="163"/>
      <c r="M26" s="163"/>
      <c r="N26" s="163"/>
      <c r="O26" s="163"/>
      <c r="P26" s="163"/>
      <c r="Q26" s="163"/>
      <c r="R26" s="163"/>
      <c r="S26" s="163"/>
      <c r="T26" s="163"/>
      <c r="U26" s="163"/>
    </row>
    <row r="27" spans="1:21" ht="17.25">
      <c r="A27" s="163"/>
      <c r="B27" s="175" t="s">
        <v>513</v>
      </c>
      <c r="C27" s="172" t="e">
        <f ca="1">COUNTIF(INDIRECT("TestingDetail!D:D"),"BLOCKED")</f>
        <v>#REF!</v>
      </c>
      <c r="D27" s="173" t="e">
        <f ca="1">IF(C18&lt;&gt;0,C27/C18,0)</f>
        <v>#REF!</v>
      </c>
      <c r="E27" s="265">
        <v>2</v>
      </c>
      <c r="F27" s="163"/>
      <c r="G27" s="163"/>
      <c r="H27" s="163"/>
      <c r="I27" s="163"/>
      <c r="J27" s="163"/>
      <c r="K27" s="163"/>
      <c r="L27" s="163"/>
      <c r="M27" s="163"/>
      <c r="N27" s="163"/>
      <c r="O27" s="163"/>
      <c r="P27" s="163"/>
      <c r="Q27" s="163"/>
      <c r="R27" s="163"/>
      <c r="S27" s="163"/>
      <c r="T27" s="163"/>
      <c r="U27" s="163"/>
    </row>
    <row r="28" spans="1:21" ht="17.25">
      <c r="A28" s="163"/>
      <c r="B28" s="169" t="s">
        <v>123</v>
      </c>
      <c r="C28" s="170" t="e">
        <f ca="1">SUM(COUNTIFS(INDIRECT("TestingDetail!E:E"),{"accept*","info*","n/a*"}))</f>
        <v>#REF!</v>
      </c>
      <c r="D28" s="173"/>
      <c r="E28" s="256"/>
      <c r="F28" s="163"/>
      <c r="G28" s="163"/>
      <c r="H28" s="163"/>
      <c r="I28" s="163"/>
      <c r="J28" s="163"/>
      <c r="K28" s="163"/>
      <c r="L28" s="163"/>
      <c r="M28" s="163"/>
      <c r="N28" s="163"/>
      <c r="O28" s="163"/>
      <c r="P28" s="163"/>
      <c r="Q28" s="163"/>
      <c r="R28" s="163"/>
      <c r="S28" s="163"/>
      <c r="T28" s="163"/>
      <c r="U28" s="163"/>
    </row>
    <row r="29" spans="1:21" s="262" customFormat="1" ht="11.25">
      <c r="A29" s="259"/>
      <c r="B29" s="260"/>
      <c r="C29" s="260"/>
      <c r="D29" s="260"/>
      <c r="E29" s="261" t="s">
        <v>510</v>
      </c>
      <c r="F29" s="259"/>
      <c r="G29" s="259"/>
      <c r="H29" s="259"/>
      <c r="I29" s="259"/>
      <c r="J29" s="259"/>
      <c r="K29" s="259"/>
      <c r="L29" s="259"/>
      <c r="M29" s="259"/>
      <c r="N29" s="259"/>
      <c r="O29" s="259"/>
      <c r="P29" s="259"/>
      <c r="Q29" s="259"/>
      <c r="R29" s="259"/>
      <c r="S29" s="259"/>
      <c r="T29" s="259"/>
      <c r="U29" s="259"/>
    </row>
    <row r="30" spans="1:21" s="262" customFormat="1" ht="11.25">
      <c r="A30" s="259"/>
      <c r="B30" s="263"/>
      <c r="C30" s="263"/>
      <c r="D30" s="263"/>
      <c r="E30" s="264" t="s">
        <v>511</v>
      </c>
      <c r="F30" s="259"/>
      <c r="G30" s="259"/>
      <c r="H30" s="259"/>
      <c r="I30" s="259"/>
      <c r="J30" s="259"/>
      <c r="K30" s="259"/>
      <c r="L30" s="259"/>
      <c r="M30" s="259"/>
      <c r="N30" s="259"/>
      <c r="O30" s="259"/>
      <c r="P30" s="259"/>
      <c r="Q30" s="259"/>
      <c r="R30" s="259"/>
      <c r="S30" s="259"/>
      <c r="T30" s="259"/>
      <c r="U30" s="259"/>
    </row>
    <row r="31" spans="1:21" s="262" customFormat="1" ht="11.25">
      <c r="A31" s="259"/>
      <c r="B31" s="263"/>
      <c r="C31" s="263"/>
      <c r="D31" s="263"/>
      <c r="E31" s="264"/>
      <c r="F31" s="259"/>
      <c r="G31" s="259"/>
      <c r="H31" s="259"/>
      <c r="I31" s="259"/>
      <c r="J31" s="259"/>
      <c r="K31" s="259"/>
      <c r="L31" s="259"/>
      <c r="M31" s="259"/>
      <c r="N31" s="259"/>
      <c r="O31" s="259"/>
      <c r="P31" s="259"/>
      <c r="Q31" s="259"/>
      <c r="R31" s="259"/>
      <c r="S31" s="259"/>
      <c r="T31" s="259"/>
      <c r="U31" s="259"/>
    </row>
    <row r="32" spans="1:21">
      <c r="A32" s="163"/>
      <c r="B32" s="177" t="s">
        <v>76</v>
      </c>
      <c r="C32" s="178">
        <f ca="1">SUM(ResourceUsed)/3600</f>
        <v>0</v>
      </c>
      <c r="D32" s="179"/>
      <c r="E32" s="267"/>
      <c r="F32" s="163"/>
      <c r="G32" s="163"/>
      <c r="H32" s="163"/>
      <c r="I32" s="163"/>
      <c r="J32" s="163"/>
      <c r="K32" s="163"/>
      <c r="L32" s="163"/>
      <c r="M32" s="163"/>
      <c r="N32" s="163"/>
      <c r="O32" s="163"/>
      <c r="P32" s="163"/>
      <c r="Q32" s="163"/>
      <c r="R32" s="163"/>
      <c r="S32" s="163"/>
      <c r="T32" s="163"/>
      <c r="U32" s="163"/>
    </row>
    <row r="33" spans="1:21" ht="15.75" thickBot="1">
      <c r="A33" s="163"/>
      <c r="B33" s="177" t="s">
        <v>77</v>
      </c>
      <c r="C33" s="180">
        <f ca="1">C14-C32</f>
        <v>0</v>
      </c>
      <c r="D33" s="181"/>
      <c r="E33" s="267"/>
      <c r="F33" s="163"/>
      <c r="G33" s="163"/>
      <c r="H33" s="163"/>
      <c r="I33" s="163"/>
      <c r="J33" s="163"/>
      <c r="K33" s="163"/>
      <c r="L33" s="163"/>
      <c r="M33" s="163"/>
      <c r="N33" s="163"/>
      <c r="O33" s="163"/>
      <c r="P33" s="163"/>
      <c r="Q33" s="163"/>
      <c r="R33" s="163"/>
      <c r="S33" s="163"/>
      <c r="T33" s="163"/>
      <c r="U33" s="163"/>
    </row>
    <row r="34" spans="1:21" ht="16.5" thickTop="1" thickBot="1">
      <c r="A34" s="163"/>
      <c r="B34" s="278"/>
      <c r="C34" s="278"/>
      <c r="D34" s="278"/>
      <c r="E34" s="254"/>
      <c r="F34" s="163"/>
      <c r="G34" s="163"/>
      <c r="H34" s="163"/>
      <c r="I34" s="291" t="s">
        <v>481</v>
      </c>
      <c r="J34" s="292"/>
      <c r="K34" s="292"/>
      <c r="L34" s="292"/>
      <c r="M34" s="292"/>
      <c r="N34" s="292"/>
      <c r="O34" s="292"/>
      <c r="P34" s="293"/>
      <c r="Q34" s="163"/>
      <c r="R34" s="163"/>
      <c r="S34" s="163"/>
      <c r="T34" s="163"/>
      <c r="U34" s="163"/>
    </row>
    <row r="35" spans="1:21" ht="15.75" thickTop="1">
      <c r="A35" s="163"/>
      <c r="B35" s="288" t="s">
        <v>514</v>
      </c>
      <c r="C35" s="289"/>
      <c r="D35" s="290"/>
      <c r="E35" s="254"/>
      <c r="F35" s="163"/>
      <c r="G35" s="163"/>
      <c r="H35" s="163"/>
      <c r="I35" s="163"/>
      <c r="J35" s="163"/>
      <c r="K35" s="163"/>
      <c r="L35" s="163"/>
      <c r="M35" s="163"/>
      <c r="N35" s="163"/>
      <c r="O35" s="163"/>
      <c r="P35" s="163"/>
      <c r="Q35" s="163"/>
      <c r="R35" s="163"/>
      <c r="S35" s="163"/>
      <c r="T35" s="163"/>
      <c r="U35" s="163"/>
    </row>
    <row r="36" spans="1:21" ht="33" customHeight="1">
      <c r="A36" s="163"/>
      <c r="B36" s="285"/>
      <c r="C36" s="286"/>
      <c r="D36" s="287"/>
      <c r="E36" s="254"/>
      <c r="F36" s="163"/>
      <c r="G36" s="163"/>
      <c r="H36" s="163"/>
      <c r="I36" s="163"/>
      <c r="J36" s="163"/>
      <c r="K36" s="163"/>
      <c r="L36" s="163"/>
      <c r="M36" s="163"/>
      <c r="N36" s="163"/>
      <c r="O36" s="163"/>
      <c r="P36" s="163"/>
      <c r="Q36" s="163"/>
      <c r="R36" s="163"/>
      <c r="S36" s="163"/>
      <c r="T36" s="163"/>
      <c r="U36" s="163"/>
    </row>
    <row r="37" spans="1:21">
      <c r="A37" s="163"/>
      <c r="B37" s="254"/>
      <c r="C37" s="254"/>
      <c r="D37" s="254"/>
      <c r="E37" s="254"/>
      <c r="F37" s="163"/>
      <c r="G37" s="163"/>
      <c r="H37" s="163"/>
      <c r="I37" s="163"/>
      <c r="J37" s="163"/>
      <c r="K37" s="163"/>
      <c r="L37" s="163"/>
      <c r="M37" s="163"/>
      <c r="N37" s="163"/>
      <c r="O37" s="163"/>
      <c r="P37" s="163"/>
      <c r="Q37" s="163"/>
      <c r="R37" s="163"/>
      <c r="S37" s="163"/>
      <c r="T37" s="163"/>
      <c r="U37" s="163"/>
    </row>
    <row r="38" spans="1:21">
      <c r="B38" s="42"/>
      <c r="H38" s="48"/>
      <c r="I38" s="48"/>
      <c r="J38" s="48"/>
      <c r="K38" s="48"/>
      <c r="L38" s="48"/>
      <c r="M38" s="48"/>
      <c r="N38" s="48"/>
      <c r="O38" s="48"/>
      <c r="P38" s="48"/>
      <c r="Q38" s="48"/>
    </row>
    <row r="39" spans="1:21">
      <c r="A39" s="25"/>
      <c r="B39" s="250" t="s">
        <v>478</v>
      </c>
      <c r="C39" s="163"/>
      <c r="D39" s="163"/>
      <c r="E39" s="163"/>
      <c r="F39" s="25"/>
      <c r="H39" s="48"/>
      <c r="I39" s="279"/>
      <c r="J39" s="279"/>
      <c r="K39" s="279"/>
      <c r="L39" s="279"/>
      <c r="M39" s="279"/>
      <c r="N39" s="279"/>
      <c r="O39" s="279"/>
      <c r="P39" s="279"/>
      <c r="Q39" s="48"/>
    </row>
    <row r="40" spans="1:21">
      <c r="A40" s="25"/>
      <c r="B40" s="251" t="s">
        <v>479</v>
      </c>
      <c r="C40" s="252" t="e">
        <f ca="1">COUNTIF(INDIRECT("TestingDetail!E:E"),"Failed"&amp;"*")</f>
        <v>#REF!</v>
      </c>
      <c r="D40" s="163"/>
      <c r="E40" s="163"/>
      <c r="F40" s="25"/>
      <c r="H40" s="48"/>
      <c r="I40" s="48"/>
      <c r="J40" s="48"/>
      <c r="K40" s="48"/>
      <c r="L40" s="48"/>
      <c r="M40" s="48"/>
      <c r="N40" s="48"/>
      <c r="O40" s="48"/>
      <c r="P40" s="48"/>
      <c r="Q40" s="48"/>
    </row>
    <row r="41" spans="1:21">
      <c r="A41" s="25"/>
      <c r="B41" s="251" t="s">
        <v>480</v>
      </c>
      <c r="C41" s="252" t="e">
        <f ca="1">COUNTIF(INDIRECT("TestingDetail!E:E"),"Wait"&amp;"*")</f>
        <v>#REF!</v>
      </c>
      <c r="D41" s="163"/>
      <c r="E41" s="163"/>
      <c r="F41" s="25"/>
    </row>
    <row r="42" spans="1:21">
      <c r="A42" s="25"/>
      <c r="B42" s="251" t="s">
        <v>513</v>
      </c>
      <c r="C42" s="252" t="e">
        <f ca="1">COUNTIF(INDIRECT("TestingDetail!E:E"),"Blocked")</f>
        <v>#REF!</v>
      </c>
      <c r="D42" s="163"/>
      <c r="E42" s="163"/>
      <c r="F42" s="25"/>
    </row>
    <row r="43" spans="1:21">
      <c r="B43" s="253"/>
      <c r="C43" s="162"/>
      <c r="D43" s="162"/>
      <c r="E43" s="162"/>
    </row>
  </sheetData>
  <sheetProtection password="88A1" sheet="1" objects="1" scenarios="1" selectLockedCells="1" sort="0" autoFilter="0"/>
  <protectedRanges>
    <protectedRange password="DDDF" sqref="I38:R38 A43:XFD1048576 G39:G42 H16:XFD28 I39:L39 N39:P39 H40:P42 R39:R42 Q39:Q40 Q42 A16:G17 A32:G34 F18:G28 A18:D28 A37:G38 A35:A36 E35:G36 H32:R33 S32:XFD42 H35:R37 H34:L34 N34:R34 A1:XFD1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I39:P39"/>
    <mergeCell ref="C9:D9"/>
    <mergeCell ref="C10:D10"/>
    <mergeCell ref="C6:D6"/>
    <mergeCell ref="B34:D34"/>
    <mergeCell ref="C11:D11"/>
    <mergeCell ref="B12:D12"/>
    <mergeCell ref="C13:D13"/>
    <mergeCell ref="C15:D15"/>
    <mergeCell ref="B16:D16"/>
    <mergeCell ref="C14:D14"/>
    <mergeCell ref="B36:D36"/>
    <mergeCell ref="B35:D35"/>
    <mergeCell ref="I34:P34"/>
    <mergeCell ref="C5:D5"/>
    <mergeCell ref="B8:D8"/>
    <mergeCell ref="C4:D4"/>
    <mergeCell ref="B3:D3"/>
    <mergeCell ref="B7:D7"/>
  </mergeCells>
  <dataValidations count="5">
    <dataValidation type="list" allowBlank="1" showInputMessage="1" showErrorMessage="1" sqref="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103"/>
  <sheetViews>
    <sheetView showGridLines="0" workbookViewId="0">
      <pane ySplit="2" topLeftCell="A93" activePane="bottomLeft" state="frozen"/>
      <selection pane="bottomLeft" activeCell="E109" sqref="E109"/>
    </sheetView>
  </sheetViews>
  <sheetFormatPr defaultRowHeight="1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c r="A1" s="231" t="str">
        <f ca="1">MID(CELL("filename",A1),FIND("]",CELL("filename",A1))+1,255)</f>
        <v>TestingDetail-cim-courseadmin</v>
      </c>
      <c r="B1" s="225"/>
      <c r="C1" s="232" t="str">
        <f>ProjectSummary!$D$1</f>
        <v xml:space="preserve"> -  /</v>
      </c>
      <c r="D1" s="226"/>
      <c r="E1" s="226"/>
      <c r="F1" s="226"/>
      <c r="G1" s="201"/>
      <c r="H1" s="203"/>
    </row>
    <row r="2" spans="1:8" s="77" customFormat="1" ht="33" thickTop="1" thickBot="1">
      <c r="A2" s="238" t="s">
        <v>483</v>
      </c>
      <c r="B2" s="204" t="s">
        <v>124</v>
      </c>
      <c r="C2" s="205" t="s">
        <v>0</v>
      </c>
      <c r="D2" s="206" t="s">
        <v>62</v>
      </c>
      <c r="E2" s="206" t="s">
        <v>61</v>
      </c>
      <c r="F2" s="207" t="s">
        <v>58</v>
      </c>
      <c r="G2" s="208" t="s">
        <v>196</v>
      </c>
      <c r="H2" s="210" t="s">
        <v>60</v>
      </c>
    </row>
    <row r="3" spans="1:8" s="25" customFormat="1" ht="19.5" hidden="1" customHeight="1" thickTop="1">
      <c r="A3" s="71"/>
      <c r="B3" s="135" t="s">
        <v>201</v>
      </c>
      <c r="C3" s="136" t="s">
        <v>199</v>
      </c>
      <c r="D3" s="103"/>
      <c r="E3" s="239" t="s">
        <v>200</v>
      </c>
      <c r="F3" s="239"/>
      <c r="G3" s="239"/>
      <c r="H3" s="137"/>
    </row>
    <row r="4" spans="1:8" s="73" customFormat="1" ht="16.5" thickTop="1">
      <c r="A4" s="124" t="str">
        <f>IF(AND(B4&lt;&gt;"",C4&lt;&gt;"",LEFT(B4,1)&lt;&gt;"#"),MAX(#REF!)+1,"")</f>
        <v/>
      </c>
      <c r="B4" s="149" t="s">
        <v>466</v>
      </c>
      <c r="C4" s="125"/>
      <c r="D4" s="126"/>
      <c r="E4" s="127"/>
      <c r="F4" s="128"/>
      <c r="G4" s="128"/>
      <c r="H4" s="130"/>
    </row>
    <row r="5" spans="1:8" ht="30">
      <c r="A5" s="78">
        <f>IF(AND(B5&lt;&gt;"",C5&lt;&gt;"",LEFT(B5,1)&lt;&gt;"#"),MAX($A$2:A4)+1,"")</f>
        <v>1</v>
      </c>
      <c r="B5" s="184" t="s">
        <v>1</v>
      </c>
      <c r="C5" s="185" t="s">
        <v>2</v>
      </c>
      <c r="D5" s="190"/>
      <c r="E5" s="56"/>
      <c r="F5" s="26"/>
      <c r="G5" s="69"/>
      <c r="H5" s="65"/>
    </row>
    <row r="6" spans="1:8">
      <c r="A6" s="188"/>
      <c r="B6" s="135" t="str">
        <f>$B$3</f>
        <v>( Add new test case )</v>
      </c>
      <c r="C6" s="136" t="str">
        <f>$C$3</f>
        <v>( Remove previous test result )</v>
      </c>
      <c r="D6" s="103"/>
      <c r="E6" s="239" t="str">
        <f>$E$3</f>
        <v>( Add new test result )</v>
      </c>
      <c r="F6" s="239"/>
      <c r="G6" s="239"/>
      <c r="H6" s="66"/>
    </row>
    <row r="7" spans="1:8" ht="45">
      <c r="A7" s="52">
        <f>IF(AND(B7&lt;&gt;"",C7&lt;&gt;"",LEFT(B7,1)&lt;&gt;"#"),MAX($A$2:A5)+1,"")</f>
        <v>2</v>
      </c>
      <c r="B7" s="14" t="s">
        <v>486</v>
      </c>
      <c r="C7" s="86" t="s">
        <v>3</v>
      </c>
      <c r="D7" s="51"/>
      <c r="E7" s="56"/>
      <c r="F7" s="26"/>
      <c r="G7" s="69"/>
      <c r="H7" s="67"/>
    </row>
    <row r="8" spans="1:8">
      <c r="A8" s="58"/>
      <c r="B8" s="102" t="str">
        <f>$B$3</f>
        <v>( Add new test case )</v>
      </c>
      <c r="C8" s="99" t="str">
        <f>$C$3</f>
        <v>( Remove previous test result )</v>
      </c>
      <c r="D8" s="103"/>
      <c r="E8" s="239" t="str">
        <f>$E$3</f>
        <v>( Add new test result )</v>
      </c>
      <c r="F8" s="239"/>
      <c r="G8" s="239"/>
      <c r="H8" s="66"/>
    </row>
    <row r="9" spans="1:8" ht="30">
      <c r="A9" s="189">
        <f>IF(AND(B9&lt;&gt;"",C9&lt;&gt;"",LEFT(B9,1)&lt;&gt;"#"),MAX($A$2:A7)+1,"")</f>
        <v>3</v>
      </c>
      <c r="B9" s="186" t="s">
        <v>487</v>
      </c>
      <c r="C9" s="187" t="s">
        <v>5</v>
      </c>
      <c r="D9" s="151"/>
      <c r="E9" s="56"/>
      <c r="F9" s="26"/>
      <c r="G9" s="69"/>
      <c r="H9" s="67"/>
    </row>
    <row r="10" spans="1:8">
      <c r="A10" s="188"/>
      <c r="B10" s="135" t="str">
        <f>$B$3</f>
        <v>( Add new test case )</v>
      </c>
      <c r="C10" s="136" t="str">
        <f>$C$3</f>
        <v>( Remove previous test result )</v>
      </c>
      <c r="D10" s="103"/>
      <c r="E10" s="239" t="str">
        <f>$E$3</f>
        <v>( Add new test result )</v>
      </c>
      <c r="F10" s="239"/>
      <c r="G10" s="239"/>
      <c r="H10" s="66"/>
    </row>
    <row r="11" spans="1:8" ht="30">
      <c r="A11" s="52">
        <f>IF(AND(B11&lt;&gt;"",C11&lt;&gt;"",LEFT(B11,1)&lt;&gt;"#"),MAX($A$2:A10)+1,"")</f>
        <v>4</v>
      </c>
      <c r="B11" s="15" t="s">
        <v>126</v>
      </c>
      <c r="C11" s="87" t="s">
        <v>4</v>
      </c>
      <c r="D11" s="51"/>
      <c r="E11" s="56"/>
      <c r="F11" s="26"/>
      <c r="G11" s="69"/>
      <c r="H11" s="67"/>
    </row>
    <row r="12" spans="1:8">
      <c r="A12" s="58"/>
      <c r="B12" s="79"/>
      <c r="C12" s="79"/>
      <c r="D12" s="103"/>
      <c r="E12" s="239" t="str">
        <f>$E$3</f>
        <v>( Add new test result )</v>
      </c>
      <c r="F12" s="239"/>
      <c r="G12" s="239"/>
      <c r="H12" s="66"/>
    </row>
    <row r="13" spans="1:8" ht="30">
      <c r="A13" s="52">
        <f>IF(AND(B13&lt;&gt;"",C13&lt;&gt;"",LEFT(B13,1)&lt;&gt;"#"),MAX($A$2:A12)+1,"")</f>
        <v>5</v>
      </c>
      <c r="B13" s="15" t="s">
        <v>488</v>
      </c>
      <c r="C13" s="87" t="s">
        <v>6</v>
      </c>
      <c r="D13" s="51"/>
      <c r="E13" s="56"/>
      <c r="F13" s="26"/>
      <c r="G13" s="69"/>
      <c r="H13" s="67"/>
    </row>
    <row r="14" spans="1:8">
      <c r="A14" s="58"/>
      <c r="B14" s="102" t="str">
        <f>$B$3</f>
        <v>( Add new test case )</v>
      </c>
      <c r="C14" s="99" t="str">
        <f>$C$3</f>
        <v>( Remove previous test result )</v>
      </c>
      <c r="D14" s="103"/>
      <c r="E14" s="239" t="str">
        <f>$E$3</f>
        <v>( Add new test result )</v>
      </c>
      <c r="F14" s="239"/>
      <c r="G14" s="239"/>
      <c r="H14" s="66"/>
    </row>
    <row r="15" spans="1:8" ht="30">
      <c r="A15" s="52">
        <f>IF(AND(B15&lt;&gt;"",C15&lt;&gt;"",LEFT(B15,1)&lt;&gt;"#"),MAX($A$2:A14)+1,"")</f>
        <v>6</v>
      </c>
      <c r="B15" s="15" t="s">
        <v>128</v>
      </c>
      <c r="C15" s="87" t="s">
        <v>7</v>
      </c>
      <c r="D15" s="51"/>
      <c r="E15" s="56"/>
      <c r="F15" s="26"/>
      <c r="G15" s="69"/>
      <c r="H15" s="67"/>
    </row>
    <row r="16" spans="1:8">
      <c r="A16" s="58"/>
      <c r="B16" s="102" t="str">
        <f>$B$3</f>
        <v>( Add new test case )</v>
      </c>
      <c r="C16" s="99" t="str">
        <f>$C$3</f>
        <v>( Remove previous test result )</v>
      </c>
      <c r="D16" s="103"/>
      <c r="E16" s="239" t="str">
        <f>$E$3</f>
        <v>( Add new test result )</v>
      </c>
      <c r="F16" s="239"/>
      <c r="G16" s="239"/>
      <c r="H16" s="66"/>
    </row>
    <row r="17" spans="1:8" ht="45">
      <c r="A17" s="52">
        <f>IF(AND(B17&lt;&gt;"",C17&lt;&gt;"",LEFT(B17,1)&lt;&gt;"#"),MAX($A$2:A16)+1,"")</f>
        <v>7</v>
      </c>
      <c r="B17" s="15" t="s">
        <v>129</v>
      </c>
      <c r="C17" s="87" t="s">
        <v>8</v>
      </c>
      <c r="D17" s="51"/>
      <c r="E17" s="56"/>
      <c r="F17" s="26" t="str">
        <f t="shared" ref="F17:F25" ca="1" si="0">IF(E17&lt;&gt;"",NOW(),"")</f>
        <v/>
      </c>
      <c r="G17" s="69"/>
      <c r="H17" s="67"/>
    </row>
    <row r="18" spans="1:8">
      <c r="A18" s="58"/>
      <c r="B18" s="102" t="str">
        <f>$B$3</f>
        <v>( Add new test case )</v>
      </c>
      <c r="C18" s="99" t="str">
        <f>$C$3</f>
        <v>( Remove previous test result )</v>
      </c>
      <c r="D18" s="103"/>
      <c r="E18" s="239" t="str">
        <f>$E$3</f>
        <v>( Add new test result )</v>
      </c>
      <c r="F18" s="239"/>
      <c r="G18" s="239"/>
      <c r="H18" s="66"/>
    </row>
    <row r="19" spans="1:8" ht="60">
      <c r="A19" s="52">
        <f>IF(AND(B19&lt;&gt;"",C19&lt;&gt;"",LEFT(B19,1)&lt;&gt;"#"),MAX($A$2:A18)+1,"")</f>
        <v>8</v>
      </c>
      <c r="B19" s="16" t="s">
        <v>489</v>
      </c>
      <c r="C19" s="16" t="s">
        <v>202</v>
      </c>
      <c r="D19" s="51"/>
      <c r="E19" s="56"/>
      <c r="F19" s="26"/>
      <c r="G19" s="69"/>
      <c r="H19" s="67"/>
    </row>
    <row r="20" spans="1:8">
      <c r="A20" s="58"/>
      <c r="B20" s="102" t="str">
        <f>$B$3</f>
        <v>( Add new test case )</v>
      </c>
      <c r="C20" s="99" t="str">
        <f>$C$3</f>
        <v>( Remove previous test result )</v>
      </c>
      <c r="D20" s="103"/>
      <c r="E20" s="239" t="str">
        <f>$E$3</f>
        <v>( Add new test result )</v>
      </c>
      <c r="F20" s="239"/>
      <c r="G20" s="239"/>
      <c r="H20" s="66"/>
    </row>
    <row r="21" spans="1:8" ht="30">
      <c r="A21" s="52">
        <f>IF(AND(B21&lt;&gt;"",C21&lt;&gt;"",LEFT(B21,1)&lt;&gt;"#"),MAX($A$2:A20)+1,"")</f>
        <v>9</v>
      </c>
      <c r="B21" s="17" t="s">
        <v>130</v>
      </c>
      <c r="C21" s="17" t="s">
        <v>22</v>
      </c>
      <c r="D21" s="51"/>
      <c r="E21" s="56"/>
      <c r="F21" s="26" t="str">
        <f t="shared" ca="1" si="0"/>
        <v/>
      </c>
      <c r="G21" s="69"/>
      <c r="H21" s="67"/>
    </row>
    <row r="22" spans="1:8">
      <c r="A22" s="58"/>
      <c r="B22" s="102" t="str">
        <f>$B$3</f>
        <v>( Add new test case )</v>
      </c>
      <c r="C22" s="99" t="str">
        <f>$C$3</f>
        <v>( Remove previous test result )</v>
      </c>
      <c r="D22" s="103"/>
      <c r="E22" s="239" t="str">
        <f>$E$3</f>
        <v>( Add new test result )</v>
      </c>
      <c r="F22" s="239"/>
      <c r="G22" s="239"/>
      <c r="H22" s="66"/>
    </row>
    <row r="23" spans="1:8" ht="45">
      <c r="A23" s="52">
        <f>IF(AND(B23&lt;&gt;"",C23&lt;&gt;"",LEFT(B23,1)&lt;&gt;"#"),MAX($A$2:A22)+1,"")</f>
        <v>10</v>
      </c>
      <c r="B23" s="16" t="s">
        <v>490</v>
      </c>
      <c r="C23" s="16" t="s">
        <v>203</v>
      </c>
      <c r="D23" s="51"/>
      <c r="E23" s="56"/>
      <c r="F23" s="26" t="str">
        <f t="shared" ca="1" si="0"/>
        <v/>
      </c>
      <c r="G23" s="69"/>
      <c r="H23" s="67"/>
    </row>
    <row r="24" spans="1:8">
      <c r="A24" s="58"/>
      <c r="B24" s="102" t="str">
        <f>$B$3</f>
        <v>( Add new test case )</v>
      </c>
      <c r="C24" s="99" t="str">
        <f>$C$3</f>
        <v>( Remove previous test result )</v>
      </c>
      <c r="D24" s="103"/>
      <c r="E24" s="239" t="str">
        <f>$E$3</f>
        <v>( Add new test result )</v>
      </c>
      <c r="F24" s="239"/>
      <c r="G24" s="239"/>
      <c r="H24" s="66"/>
    </row>
    <row r="25" spans="1:8" ht="45">
      <c r="A25" s="52">
        <f>IF(AND(B25&lt;&gt;"",C25&lt;&gt;"",LEFT(B25,1)&lt;&gt;"#"),MAX($A$2:A24)+1,"")</f>
        <v>11</v>
      </c>
      <c r="B25" s="16" t="s">
        <v>131</v>
      </c>
      <c r="C25" s="16" t="s">
        <v>27</v>
      </c>
      <c r="D25" s="51"/>
      <c r="E25" s="56"/>
      <c r="F25" s="26" t="str">
        <f t="shared" ca="1" si="0"/>
        <v/>
      </c>
      <c r="G25" s="69"/>
      <c r="H25" s="67"/>
    </row>
    <row r="26" spans="1:8">
      <c r="A26" s="58"/>
      <c r="B26" s="102" t="str">
        <f>$B$3</f>
        <v>( Add new test case )</v>
      </c>
      <c r="C26" s="99" t="str">
        <f>$C$3</f>
        <v>( Remove previous test result )</v>
      </c>
      <c r="D26" s="103"/>
      <c r="E26" s="239" t="str">
        <f>$E$3</f>
        <v>( Add new test result )</v>
      </c>
      <c r="F26" s="239"/>
      <c r="G26" s="239"/>
      <c r="H26" s="66"/>
    </row>
    <row r="27" spans="1:8" ht="15.75">
      <c r="A27" s="124" t="str">
        <f>IF(AND(B27&lt;&gt;"",C27&lt;&gt;"",LEFT(B27,1)&lt;&gt;"#"),MAX(#REF!)+1,"")</f>
        <v/>
      </c>
      <c r="B27" s="149" t="s">
        <v>67</v>
      </c>
      <c r="C27" s="125"/>
      <c r="D27" s="126"/>
      <c r="E27" s="127"/>
      <c r="F27" s="128"/>
      <c r="G27" s="128"/>
      <c r="H27" s="130"/>
    </row>
    <row r="28" spans="1:8" ht="30">
      <c r="A28" s="52">
        <f>IF(AND(B28&lt;&gt;"",C28&lt;&gt;"",LEFT(B28,1)&lt;&gt;"#"),MAX($A$2:A27)+1,"")</f>
        <v>12</v>
      </c>
      <c r="B28" s="18" t="s">
        <v>142</v>
      </c>
      <c r="C28" s="88" t="s">
        <v>26</v>
      </c>
      <c r="D28" s="51"/>
      <c r="E28" s="56"/>
      <c r="F28" s="26"/>
      <c r="G28" s="69"/>
      <c r="H28" s="65"/>
    </row>
    <row r="29" spans="1:8">
      <c r="A29" s="58"/>
      <c r="B29" s="102" t="str">
        <f>$B$3</f>
        <v>( Add new test case )</v>
      </c>
      <c r="C29" s="99" t="str">
        <f>$C$3</f>
        <v>( Remove previous test result )</v>
      </c>
      <c r="D29" s="103"/>
      <c r="E29" s="239" t="str">
        <f>$E$3</f>
        <v>( Add new test result )</v>
      </c>
      <c r="F29" s="239"/>
      <c r="G29" s="239"/>
      <c r="H29" s="66"/>
    </row>
    <row r="30" spans="1:8" ht="60">
      <c r="A30" s="52">
        <f>IF(AND(B30&lt;&gt;"",C30&lt;&gt;"",LEFT(B30,1)&lt;&gt;"#"),MAX($A$2:A29)+1,"")</f>
        <v>13</v>
      </c>
      <c r="B30" s="19" t="s">
        <v>143</v>
      </c>
      <c r="C30" s="89" t="s">
        <v>204</v>
      </c>
      <c r="D30" s="51"/>
      <c r="E30" s="56"/>
      <c r="F30" s="26"/>
      <c r="G30" s="69"/>
      <c r="H30" s="241"/>
    </row>
    <row r="31" spans="1:8">
      <c r="A31" s="58"/>
      <c r="B31" s="102" t="str">
        <f>$B$3</f>
        <v>( Add new test case )</v>
      </c>
      <c r="C31" s="99" t="str">
        <f>$C$3</f>
        <v>( Remove previous test result )</v>
      </c>
      <c r="D31" s="103"/>
      <c r="E31" s="239" t="str">
        <f>$E$3</f>
        <v>( Add new test result )</v>
      </c>
      <c r="F31" s="239"/>
      <c r="G31" s="239"/>
      <c r="H31" s="66"/>
    </row>
    <row r="32" spans="1:8" ht="30">
      <c r="A32" s="52">
        <f>IF(AND(B32&lt;&gt;"",C32&lt;&gt;"",LEFT(B32,1)&lt;&gt;"#"),MAX($A$2:A31)+1,"")</f>
        <v>14</v>
      </c>
      <c r="B32" s="19" t="s">
        <v>491</v>
      </c>
      <c r="C32" s="89" t="s">
        <v>205</v>
      </c>
      <c r="D32" s="51"/>
      <c r="E32" s="56"/>
      <c r="F32" s="26" t="str">
        <f t="shared" ref="F32" ca="1" si="1">IF(E32&lt;&gt;"",NOW(),"")</f>
        <v/>
      </c>
      <c r="G32" s="69"/>
      <c r="H32" s="241"/>
    </row>
    <row r="33" spans="1:8">
      <c r="A33" s="58"/>
      <c r="B33" s="102" t="str">
        <f>$B$3</f>
        <v>( Add new test case )</v>
      </c>
      <c r="C33" s="99" t="str">
        <f>$C$3</f>
        <v>( Remove previous test result )</v>
      </c>
      <c r="D33" s="103"/>
      <c r="E33" s="239" t="str">
        <f>$E$3</f>
        <v>( Add new test result )</v>
      </c>
      <c r="F33" s="239"/>
      <c r="G33" s="239"/>
      <c r="H33" s="66"/>
    </row>
    <row r="34" spans="1:8" ht="30">
      <c r="A34" s="52">
        <f>IF(AND(B34&lt;&gt;"",C34&lt;&gt;"",LEFT(B34,1)&lt;&gt;"#"),MAX($A$2:A33)+1,"")</f>
        <v>15</v>
      </c>
      <c r="B34" s="19" t="s">
        <v>147</v>
      </c>
      <c r="C34" s="89" t="s">
        <v>28</v>
      </c>
      <c r="D34" s="51"/>
      <c r="E34" s="56"/>
      <c r="F34" s="26" t="str">
        <f t="shared" ref="F34" ca="1" si="2">IF(E34&lt;&gt;"",NOW(),"")</f>
        <v/>
      </c>
      <c r="G34" s="69"/>
      <c r="H34" s="241"/>
    </row>
    <row r="35" spans="1:8">
      <c r="A35" s="58"/>
      <c r="B35" s="102" t="str">
        <f>$B$3</f>
        <v>( Add new test case )</v>
      </c>
      <c r="C35" s="99" t="str">
        <f>$C$3</f>
        <v>( Remove previous test result )</v>
      </c>
      <c r="D35" s="103"/>
      <c r="E35" s="239" t="str">
        <f>$E$3</f>
        <v>( Add new test result )</v>
      </c>
      <c r="F35" s="239"/>
      <c r="G35" s="239"/>
      <c r="H35" s="66"/>
    </row>
    <row r="36" spans="1:8" ht="45">
      <c r="A36" s="52">
        <f>IF(AND(B36&lt;&gt;"",C36&lt;&gt;"",LEFT(B36,1)&lt;&gt;"#"),MAX($A$2:A35)+1,"")</f>
        <v>16</v>
      </c>
      <c r="B36" s="19" t="s">
        <v>492</v>
      </c>
      <c r="C36" s="89" t="s">
        <v>493</v>
      </c>
      <c r="D36" s="51"/>
      <c r="E36" s="56"/>
      <c r="F36" s="26" t="str">
        <f t="shared" ref="F36" ca="1" si="3">IF(E36&lt;&gt;"",NOW(),"")</f>
        <v/>
      </c>
      <c r="G36" s="69"/>
      <c r="H36" s="67"/>
    </row>
    <row r="37" spans="1:8">
      <c r="A37" s="58"/>
      <c r="B37" s="102" t="str">
        <f>$B$3</f>
        <v>( Add new test case )</v>
      </c>
      <c r="C37" s="99" t="str">
        <f>$C$3</f>
        <v>( Remove previous test result )</v>
      </c>
      <c r="D37" s="103"/>
      <c r="E37" s="239" t="str">
        <f>$E$3</f>
        <v>( Add new test result )</v>
      </c>
      <c r="F37" s="239"/>
      <c r="G37" s="239"/>
      <c r="H37" s="66"/>
    </row>
    <row r="38" spans="1:8" ht="30">
      <c r="A38" s="52">
        <f>IF(AND(B38&lt;&gt;"",C38&lt;&gt;"",LEFT(B38,1)&lt;&gt;"#"),MAX($A$2:A37)+1,"")</f>
        <v>17</v>
      </c>
      <c r="B38" s="19" t="s">
        <v>494</v>
      </c>
      <c r="C38" s="89" t="s">
        <v>206</v>
      </c>
      <c r="D38" s="51"/>
      <c r="E38" s="56"/>
      <c r="F38" s="118" t="str">
        <f t="shared" ref="F38" ca="1" si="4">IF(E38&lt;&gt;"",NOW(),"")</f>
        <v/>
      </c>
      <c r="G38" s="69"/>
      <c r="H38" s="67"/>
    </row>
    <row r="39" spans="1:8">
      <c r="A39" s="58"/>
      <c r="B39" s="102" t="str">
        <f>$B$3</f>
        <v>( Add new test case )</v>
      </c>
      <c r="C39" s="99" t="str">
        <f>$C$3</f>
        <v>( Remove previous test result )</v>
      </c>
      <c r="D39" s="103"/>
      <c r="E39" s="239" t="str">
        <f>$E$3</f>
        <v>( Add new test result )</v>
      </c>
      <c r="F39" s="239"/>
      <c r="G39" s="239"/>
      <c r="H39" s="66"/>
    </row>
    <row r="40" spans="1:8" ht="45">
      <c r="A40" s="52">
        <f>IF(AND(B40&lt;&gt;"",C40&lt;&gt;"",LEFT(B40,1)&lt;&gt;"#"),MAX($A$2:A39)+1,"")</f>
        <v>18</v>
      </c>
      <c r="B40" s="19" t="s">
        <v>148</v>
      </c>
      <c r="C40" s="89" t="s">
        <v>9</v>
      </c>
      <c r="D40" s="51"/>
      <c r="E40" s="56"/>
      <c r="F40" s="26"/>
      <c r="G40" s="69"/>
      <c r="H40" s="67"/>
    </row>
    <row r="41" spans="1:8">
      <c r="A41" s="58"/>
      <c r="B41" s="102" t="str">
        <f>$B$3</f>
        <v>( Add new test case )</v>
      </c>
      <c r="C41" s="99" t="str">
        <f>$C$3</f>
        <v>( Remove previous test result )</v>
      </c>
      <c r="D41" s="103"/>
      <c r="E41" s="239" t="str">
        <f>$E$3</f>
        <v>( Add new test result )</v>
      </c>
      <c r="F41" s="239"/>
      <c r="G41" s="239"/>
      <c r="H41" s="66"/>
    </row>
    <row r="42" spans="1:8" ht="60">
      <c r="A42" s="52">
        <f>IF(AND(B42&lt;&gt;"",C42&lt;&gt;"",LEFT(B42,1)&lt;&gt;"#"),MAX($A$2:A41)+1,"")</f>
        <v>19</v>
      </c>
      <c r="B42" s="19" t="s">
        <v>149</v>
      </c>
      <c r="C42" s="89" t="s">
        <v>10</v>
      </c>
      <c r="D42" s="51"/>
      <c r="E42" s="56"/>
      <c r="F42" s="26"/>
      <c r="G42" s="69"/>
      <c r="H42" s="67"/>
    </row>
    <row r="43" spans="1:8">
      <c r="A43" s="58"/>
      <c r="B43" s="102" t="str">
        <f>$B$3</f>
        <v>( Add new test case )</v>
      </c>
      <c r="C43" s="99" t="str">
        <f>$C$3</f>
        <v>( Remove previous test result )</v>
      </c>
      <c r="D43" s="103"/>
      <c r="E43" s="239" t="str">
        <f>$E$3</f>
        <v>( Add new test result )</v>
      </c>
      <c r="F43" s="239"/>
      <c r="G43" s="239"/>
      <c r="H43" s="66"/>
    </row>
    <row r="44" spans="1:8" ht="75">
      <c r="A44" s="52">
        <f>IF(AND(B44&lt;&gt;"",C44&lt;&gt;"",LEFT(B44,1)&lt;&gt;"#"),MAX($A$2:A43)+1,"")</f>
        <v>20</v>
      </c>
      <c r="B44" s="19" t="s">
        <v>150</v>
      </c>
      <c r="C44" s="89" t="s">
        <v>31</v>
      </c>
      <c r="D44" s="51"/>
      <c r="E44" s="56"/>
      <c r="F44" s="26" t="str">
        <f t="shared" ref="F44" ca="1" si="5">IF(E44&lt;&gt;"",NOW(),"")</f>
        <v/>
      </c>
      <c r="G44" s="69"/>
      <c r="H44" s="67"/>
    </row>
    <row r="45" spans="1:8">
      <c r="A45" s="58"/>
      <c r="B45" s="102" t="str">
        <f>$B$3</f>
        <v>( Add new test case )</v>
      </c>
      <c r="C45" s="99" t="str">
        <f>$C$3</f>
        <v>( Remove previous test result )</v>
      </c>
      <c r="D45" s="103"/>
      <c r="E45" s="239" t="str">
        <f>$E$3</f>
        <v>( Add new test result )</v>
      </c>
      <c r="F45" s="239"/>
      <c r="G45" s="239"/>
      <c r="H45" s="66"/>
    </row>
    <row r="46" spans="1:8" ht="45">
      <c r="A46" s="52">
        <f>IF(AND(B46&lt;&gt;"",C46&lt;&gt;"",LEFT(B46,1)&lt;&gt;"#"),MAX($A$2:A45)+1,"")</f>
        <v>21</v>
      </c>
      <c r="B46" s="19" t="s">
        <v>152</v>
      </c>
      <c r="C46" s="89" t="s">
        <v>11</v>
      </c>
      <c r="D46" s="51"/>
      <c r="E46" s="56"/>
      <c r="F46" s="26" t="str">
        <f t="shared" ref="F46" ca="1" si="6">IF(E46&lt;&gt;"",NOW(),"")</f>
        <v/>
      </c>
      <c r="G46" s="69"/>
      <c r="H46" s="67"/>
    </row>
    <row r="47" spans="1:8">
      <c r="A47" s="58"/>
      <c r="B47" s="102" t="str">
        <f>$B$3</f>
        <v>( Add new test case )</v>
      </c>
      <c r="C47" s="99" t="str">
        <f>$C$3</f>
        <v>( Remove previous test result )</v>
      </c>
      <c r="D47" s="103"/>
      <c r="E47" s="239" t="str">
        <f>$E$3</f>
        <v>( Add new test result )</v>
      </c>
      <c r="F47" s="239"/>
      <c r="G47" s="239"/>
      <c r="H47" s="66"/>
    </row>
    <row r="48" spans="1:8" ht="60">
      <c r="A48" s="52">
        <f>IF(AND(B48&lt;&gt;"",C48&lt;&gt;"",LEFT(B48,1)&lt;&gt;"#"),MAX($A$2:A47)+1,"")</f>
        <v>22</v>
      </c>
      <c r="B48" s="19" t="s">
        <v>495</v>
      </c>
      <c r="C48" s="89" t="s">
        <v>29</v>
      </c>
      <c r="D48" s="51"/>
      <c r="E48" s="56"/>
      <c r="F48" s="26" t="str">
        <f t="shared" ref="F48" ca="1" si="7">IF(E48&lt;&gt;"",NOW(),"")</f>
        <v/>
      </c>
      <c r="G48" s="69"/>
      <c r="H48" s="67"/>
    </row>
    <row r="49" spans="1:8">
      <c r="A49" s="58"/>
      <c r="B49" s="102" t="str">
        <f>$B$3</f>
        <v>( Add new test case )</v>
      </c>
      <c r="C49" s="99" t="str">
        <f>$C$3</f>
        <v>( Remove previous test result )</v>
      </c>
      <c r="D49" s="103"/>
      <c r="E49" s="239" t="str">
        <f>$E$3</f>
        <v>( Add new test result )</v>
      </c>
      <c r="F49" s="239"/>
      <c r="G49" s="239"/>
      <c r="H49" s="66"/>
    </row>
    <row r="50" spans="1:8" ht="105">
      <c r="A50" s="52">
        <f>IF(AND(B50&lt;&gt;"",C50&lt;&gt;"",LEFT(B50,1)&lt;&gt;"#"),MAX($A$2:A49)+1,"")</f>
        <v>23</v>
      </c>
      <c r="B50" s="19" t="s">
        <v>154</v>
      </c>
      <c r="C50" s="89" t="s">
        <v>24</v>
      </c>
      <c r="D50" s="51"/>
      <c r="E50" s="56"/>
      <c r="F50" s="26" t="str">
        <f t="shared" ref="F50" ca="1" si="8">IF(E50&lt;&gt;"",NOW(),"")</f>
        <v/>
      </c>
      <c r="G50" s="69"/>
      <c r="H50" s="67"/>
    </row>
    <row r="51" spans="1:8">
      <c r="A51" s="58"/>
      <c r="B51" s="102" t="str">
        <f>$B$3</f>
        <v>( Add new test case )</v>
      </c>
      <c r="C51" s="99" t="str">
        <f>$C$3</f>
        <v>( Remove previous test result )</v>
      </c>
      <c r="D51" s="103"/>
      <c r="E51" s="239" t="str">
        <f>$E$3</f>
        <v>( Add new test result )</v>
      </c>
      <c r="F51" s="239"/>
      <c r="G51" s="239"/>
      <c r="H51" s="66"/>
    </row>
    <row r="52" spans="1:8">
      <c r="A52" s="52">
        <f>IF(AND(B52&lt;&gt;"",C52&lt;&gt;"",LEFT(B52,1)&lt;&gt;"#"),MAX($A$2:A51)+1,"")</f>
        <v>24</v>
      </c>
      <c r="B52" s="93" t="s">
        <v>207</v>
      </c>
      <c r="C52" s="93" t="s">
        <v>208</v>
      </c>
      <c r="D52" s="51"/>
      <c r="E52" s="56"/>
      <c r="F52" s="26"/>
      <c r="G52" s="69"/>
      <c r="H52" s="242"/>
    </row>
    <row r="53" spans="1:8">
      <c r="A53" s="58"/>
      <c r="B53" s="102" t="str">
        <f>$B$3</f>
        <v>( Add new test case )</v>
      </c>
      <c r="C53" s="99" t="str">
        <f>$C$3</f>
        <v>( Remove previous test result )</v>
      </c>
      <c r="D53" s="103"/>
      <c r="E53" s="239" t="str">
        <f>$E$3</f>
        <v>( Add new test result )</v>
      </c>
      <c r="F53" s="239"/>
      <c r="G53" s="239"/>
      <c r="H53" s="66"/>
    </row>
    <row r="54" spans="1:8" ht="30">
      <c r="A54" s="52">
        <f>IF(AND(B54&lt;&gt;"",C54&lt;&gt;"",LEFT(B54,1)&lt;&gt;"#"),MAX($A$2:A53)+1,"")</f>
        <v>25</v>
      </c>
      <c r="B54" s="97" t="s">
        <v>210</v>
      </c>
      <c r="C54" s="243" t="s">
        <v>211</v>
      </c>
      <c r="D54" s="51"/>
      <c r="E54" s="56"/>
      <c r="F54" s="26"/>
      <c r="G54" s="69"/>
      <c r="H54" s="241"/>
    </row>
    <row r="55" spans="1:8">
      <c r="A55" s="121"/>
      <c r="B55" s="122" t="str">
        <f>$B$3</f>
        <v>( Add new test case )</v>
      </c>
      <c r="C55" s="123" t="str">
        <f>$C$3</f>
        <v>( Remove previous test result )</v>
      </c>
      <c r="D55" s="100"/>
      <c r="E55" s="240" t="str">
        <f>$E$3</f>
        <v>( Add new test result )</v>
      </c>
      <c r="F55" s="240"/>
      <c r="G55" s="240"/>
      <c r="H55" s="83"/>
    </row>
    <row r="56" spans="1:8" ht="15.75">
      <c r="A56" s="124" t="str">
        <f>IF(AND(B56&lt;&gt;"",C56&lt;&gt;"",LEFT(B56,1)&lt;&gt;"#"),MAX(#REF!)+1,"")</f>
        <v/>
      </c>
      <c r="B56" s="149" t="s">
        <v>212</v>
      </c>
      <c r="C56" s="125"/>
      <c r="D56" s="126"/>
      <c r="E56" s="127"/>
      <c r="F56" s="128"/>
      <c r="G56" s="128"/>
      <c r="H56" s="130"/>
    </row>
    <row r="57" spans="1:8" ht="45">
      <c r="A57" s="52">
        <f>IF(AND(B57&lt;&gt;"",C57&lt;&gt;"",LEFT(B57,1)&lt;&gt;"#"),MAX($A$2:A51)+1,"")</f>
        <v>24</v>
      </c>
      <c r="B57" s="14" t="s">
        <v>496</v>
      </c>
      <c r="C57" s="86" t="s">
        <v>214</v>
      </c>
      <c r="D57" s="51"/>
      <c r="E57" s="56"/>
      <c r="F57" s="26"/>
      <c r="G57" s="69"/>
      <c r="H57" s="65"/>
    </row>
    <row r="58" spans="1:8">
      <c r="A58" s="58"/>
      <c r="B58" s="102" t="str">
        <f>$B$3</f>
        <v>( Add new test case )</v>
      </c>
      <c r="C58" s="99" t="str">
        <f>$C$3</f>
        <v>( Remove previous test result )</v>
      </c>
      <c r="D58" s="103"/>
      <c r="E58" s="239" t="str">
        <f>$E$3</f>
        <v>( Add new test result )</v>
      </c>
      <c r="F58" s="239"/>
      <c r="G58" s="239"/>
      <c r="H58" s="66"/>
    </row>
    <row r="59" spans="1:8" ht="60">
      <c r="A59" s="52">
        <f>IF(AND(B59&lt;&gt;"",C59&lt;&gt;"",LEFT(B59,1)&lt;&gt;"#"),MAX($A$2:A58)+1,"")</f>
        <v>26</v>
      </c>
      <c r="B59" s="15" t="s">
        <v>497</v>
      </c>
      <c r="C59" s="87" t="s">
        <v>216</v>
      </c>
      <c r="D59" s="51"/>
      <c r="E59" s="56"/>
      <c r="F59" s="26"/>
      <c r="G59" s="69"/>
      <c r="H59" s="67"/>
    </row>
    <row r="60" spans="1:8">
      <c r="A60" s="58"/>
      <c r="B60" s="102" t="str">
        <f>$B$3</f>
        <v>( Add new test case )</v>
      </c>
      <c r="C60" s="99" t="str">
        <f>$C$3</f>
        <v>( Remove previous test result )</v>
      </c>
      <c r="D60" s="103"/>
      <c r="E60" s="239" t="str">
        <f>$E$3</f>
        <v>( Add new test result )</v>
      </c>
      <c r="F60" s="239"/>
      <c r="G60" s="239"/>
      <c r="H60" s="66"/>
    </row>
    <row r="61" spans="1:8" ht="45">
      <c r="A61" s="52">
        <f>IF(AND(B61&lt;&gt;"",C61&lt;&gt;"",LEFT(B61,1)&lt;&gt;"#"),MAX($A$2:A60)+1,"")</f>
        <v>27</v>
      </c>
      <c r="B61" s="15" t="s">
        <v>498</v>
      </c>
      <c r="C61" s="87" t="s">
        <v>218</v>
      </c>
      <c r="D61" s="51"/>
      <c r="E61" s="56"/>
      <c r="F61" s="118" t="str">
        <f t="shared" ref="F61" ca="1" si="9">IF(E61&lt;&gt;"",NOW(),"")</f>
        <v/>
      </c>
      <c r="G61" s="69"/>
      <c r="H61" s="67"/>
    </row>
    <row r="62" spans="1:8">
      <c r="A62" s="58"/>
      <c r="B62" s="102" t="str">
        <f>$B$3</f>
        <v>( Add new test case )</v>
      </c>
      <c r="C62" s="99" t="str">
        <f>$C$3</f>
        <v>( Remove previous test result )</v>
      </c>
      <c r="D62" s="103"/>
      <c r="E62" s="239" t="str">
        <f>$E$3</f>
        <v>( Add new test result )</v>
      </c>
      <c r="F62" s="239"/>
      <c r="G62" s="239"/>
      <c r="H62" s="66"/>
    </row>
    <row r="63" spans="1:8" ht="30">
      <c r="A63" s="52">
        <f>IF(AND(B63&lt;&gt;"",C63&lt;&gt;"",LEFT(B63,1)&lt;&gt;"#"),MAX($A$2:A62)+1,"")</f>
        <v>28</v>
      </c>
      <c r="B63" s="15" t="s">
        <v>156</v>
      </c>
      <c r="C63" s="87" t="s">
        <v>219</v>
      </c>
      <c r="D63" s="51"/>
      <c r="E63" s="56"/>
      <c r="F63" s="26" t="str">
        <f t="shared" ref="F63" ca="1" si="10">IF(E63&lt;&gt;"",NOW(),"")</f>
        <v/>
      </c>
      <c r="G63" s="69"/>
      <c r="H63" s="120"/>
    </row>
    <row r="64" spans="1:8">
      <c r="A64" s="58"/>
      <c r="B64" s="102" t="str">
        <f>$B$3</f>
        <v>( Add new test case )</v>
      </c>
      <c r="C64" s="99" t="str">
        <f>$C$3</f>
        <v>( Remove previous test result )</v>
      </c>
      <c r="D64" s="103"/>
      <c r="E64" s="239" t="str">
        <f>$E$3</f>
        <v>( Add new test result )</v>
      </c>
      <c r="F64" s="239"/>
      <c r="G64" s="239"/>
      <c r="H64" s="119"/>
    </row>
    <row r="65" spans="1:8" ht="30">
      <c r="A65" s="52">
        <f>IF(AND(B65&lt;&gt;"",C65&lt;&gt;"",LEFT(B65,1)&lt;&gt;"#"),MAX($A$2:A64)+1,"")</f>
        <v>29</v>
      </c>
      <c r="B65" s="15" t="s">
        <v>158</v>
      </c>
      <c r="C65" s="87" t="s">
        <v>12</v>
      </c>
      <c r="D65" s="51"/>
      <c r="E65" s="56"/>
      <c r="F65" s="26" t="str">
        <f t="shared" ref="F65" ca="1" si="11">IF(E65&lt;&gt;"",NOW(),"")</f>
        <v/>
      </c>
      <c r="G65" s="69"/>
      <c r="H65" s="241"/>
    </row>
    <row r="66" spans="1:8">
      <c r="A66" s="58"/>
      <c r="B66" s="102" t="str">
        <f>$B$3</f>
        <v>( Add new test case )</v>
      </c>
      <c r="C66" s="99" t="str">
        <f>$C$3</f>
        <v>( Remove previous test result )</v>
      </c>
      <c r="D66" s="103"/>
      <c r="E66" s="239" t="str">
        <f>$E$3</f>
        <v>( Add new test result )</v>
      </c>
      <c r="F66" s="239"/>
      <c r="G66" s="239"/>
      <c r="H66" s="66"/>
    </row>
    <row r="67" spans="1:8" ht="45">
      <c r="A67" s="52">
        <f>IF(AND(B67&lt;&gt;"",C67&lt;&gt;"",LEFT(B67,1)&lt;&gt;"#"),MAX($A$2:A66)+1,"")</f>
        <v>30</v>
      </c>
      <c r="B67" s="15" t="s">
        <v>499</v>
      </c>
      <c r="C67" s="87" t="s">
        <v>220</v>
      </c>
      <c r="D67" s="51"/>
      <c r="E67" s="56"/>
      <c r="F67" s="26" t="str">
        <f t="shared" ref="F67" ca="1" si="12">IF(E67&lt;&gt;"",NOW(),"")</f>
        <v/>
      </c>
      <c r="G67" s="69"/>
      <c r="H67" s="67"/>
    </row>
    <row r="68" spans="1:8">
      <c r="A68" s="58"/>
      <c r="B68" s="102" t="str">
        <f>$B$3</f>
        <v>( Add new test case )</v>
      </c>
      <c r="C68" s="99" t="str">
        <f>$C$3</f>
        <v>( Remove previous test result )</v>
      </c>
      <c r="D68" s="103"/>
      <c r="E68" s="239" t="str">
        <f>$E$3</f>
        <v>( Add new test result )</v>
      </c>
      <c r="F68" s="239"/>
      <c r="G68" s="239"/>
      <c r="H68" s="66"/>
    </row>
    <row r="69" spans="1:8" ht="60">
      <c r="A69" s="52">
        <f>IF(AND(B69&lt;&gt;"",C69&lt;&gt;"",LEFT(B69,1)&lt;&gt;"#"),MAX($A$2:A68)+1,"")</f>
        <v>31</v>
      </c>
      <c r="B69" s="15" t="s">
        <v>500</v>
      </c>
      <c r="C69" s="87" t="s">
        <v>221</v>
      </c>
      <c r="D69" s="51"/>
      <c r="E69" s="56"/>
      <c r="F69" s="26"/>
      <c r="G69" s="69"/>
      <c r="H69" s="67"/>
    </row>
    <row r="70" spans="1:8">
      <c r="A70" s="58"/>
      <c r="B70" s="102" t="str">
        <f>$B$3</f>
        <v>( Add new test case )</v>
      </c>
      <c r="C70" s="99" t="str">
        <f>$C$3</f>
        <v>( Remove previous test result )</v>
      </c>
      <c r="D70" s="103"/>
      <c r="E70" s="239" t="str">
        <f>$E$3</f>
        <v>( Add new test result )</v>
      </c>
      <c r="F70" s="239"/>
      <c r="G70" s="239"/>
      <c r="H70" s="66"/>
    </row>
    <row r="71" spans="1:8" ht="30">
      <c r="A71" s="52">
        <f>IF(AND(B71&lt;&gt;"",C71&lt;&gt;"",LEFT(B71,1)&lt;&gt;"#"),MAX($A$2:A65)+1,"")</f>
        <v>30</v>
      </c>
      <c r="B71" s="93" t="s">
        <v>222</v>
      </c>
      <c r="C71" s="93" t="s">
        <v>223</v>
      </c>
      <c r="D71" s="51"/>
      <c r="E71" s="56"/>
      <c r="F71" s="26"/>
      <c r="G71" s="69"/>
      <c r="H71" s="80"/>
    </row>
    <row r="72" spans="1:8">
      <c r="A72" s="58"/>
      <c r="B72" s="102" t="str">
        <f>$B$3</f>
        <v>( Add new test case )</v>
      </c>
      <c r="C72" s="99" t="str">
        <f>$C$3</f>
        <v>( Remove previous test result )</v>
      </c>
      <c r="D72" s="103"/>
      <c r="E72" s="239" t="str">
        <f>$E$3</f>
        <v>( Add new test result )</v>
      </c>
      <c r="F72" s="239"/>
      <c r="G72" s="239"/>
      <c r="H72" s="66"/>
    </row>
    <row r="73" spans="1:8" ht="30">
      <c r="A73" s="78">
        <f>IF(AND(B73&lt;&gt;"",C73&lt;&gt;"",LEFT(B73,1)&lt;&gt;"#"),MAX($A$2:A72)+1,"")</f>
        <v>32</v>
      </c>
      <c r="B73" s="244" t="s">
        <v>224</v>
      </c>
      <c r="C73" s="245" t="s">
        <v>225</v>
      </c>
      <c r="D73" s="51"/>
      <c r="E73" s="131"/>
      <c r="F73" s="132"/>
      <c r="G73" s="133"/>
      <c r="H73" s="246" t="s">
        <v>226</v>
      </c>
    </row>
    <row r="74" spans="1:8">
      <c r="A74" s="58"/>
      <c r="B74" s="102" t="str">
        <f>$B$3</f>
        <v>( Add new test case )</v>
      </c>
      <c r="C74" s="99" t="str">
        <f>$C$3</f>
        <v>( Remove previous test result )</v>
      </c>
      <c r="D74" s="103"/>
      <c r="E74" s="239" t="str">
        <f>$E$3</f>
        <v>( Add new test result )</v>
      </c>
      <c r="F74" s="239"/>
      <c r="G74" s="239"/>
      <c r="H74" s="66"/>
    </row>
    <row r="75" spans="1:8" ht="15.75">
      <c r="A75" s="124" t="str">
        <f>IF(AND(B75&lt;&gt;"",C75&lt;&gt;"",LEFT(B75,1)&lt;&gt;"#"),MAX(#REF!)+1,"")</f>
        <v/>
      </c>
      <c r="B75" s="149" t="s">
        <v>68</v>
      </c>
      <c r="C75" s="125"/>
      <c r="D75" s="126"/>
      <c r="E75" s="127"/>
      <c r="F75" s="128"/>
      <c r="G75" s="128"/>
      <c r="H75" s="130"/>
    </row>
    <row r="76" spans="1:8" ht="75">
      <c r="A76" s="52">
        <f>IF(AND(B76&lt;&gt;"",C76&lt;&gt;"",LEFT(B76,1)&lt;&gt;"#"),MAX($A$2:A75)+1,"")</f>
        <v>33</v>
      </c>
      <c r="B76" s="20" t="s">
        <v>162</v>
      </c>
      <c r="C76" s="90" t="s">
        <v>13</v>
      </c>
      <c r="D76" s="51"/>
      <c r="E76" s="56"/>
      <c r="F76" s="26" t="str">
        <f t="shared" ref="F76" ca="1" si="13">IF(E76&lt;&gt;"",NOW(),"")</f>
        <v/>
      </c>
      <c r="G76" s="69"/>
      <c r="H76" s="247"/>
    </row>
    <row r="77" spans="1:8">
      <c r="A77" s="58"/>
      <c r="B77" s="102" t="str">
        <f>$B$3</f>
        <v>( Add new test case )</v>
      </c>
      <c r="C77" s="99" t="str">
        <f>$C$3</f>
        <v>( Remove previous test result )</v>
      </c>
      <c r="D77" s="103"/>
      <c r="E77" s="239" t="str">
        <f>$E$3</f>
        <v>( Add new test result )</v>
      </c>
      <c r="F77" s="239"/>
      <c r="G77" s="239"/>
      <c r="H77" s="66"/>
    </row>
    <row r="78" spans="1:8" ht="30">
      <c r="A78" s="52">
        <f>IF(AND(B78&lt;&gt;"",C78&lt;&gt;"",LEFT(B78,1)&lt;&gt;"#"),MAX($A$2:A77)+1,"")</f>
        <v>34</v>
      </c>
      <c r="B78" s="21" t="s">
        <v>501</v>
      </c>
      <c r="C78" s="91" t="s">
        <v>19</v>
      </c>
      <c r="D78" s="51"/>
      <c r="E78" s="56"/>
      <c r="F78" s="26" t="str">
        <f t="shared" ref="F78" ca="1" si="14">IF(E78&lt;&gt;"",NOW(),"")</f>
        <v/>
      </c>
      <c r="G78" s="69"/>
      <c r="H78" s="67"/>
    </row>
    <row r="79" spans="1:8">
      <c r="A79" s="58"/>
      <c r="B79" s="102" t="str">
        <f>$B$3</f>
        <v>( Add new test case )</v>
      </c>
      <c r="C79" s="99" t="str">
        <f>$C$3</f>
        <v>( Remove previous test result )</v>
      </c>
      <c r="D79" s="103"/>
      <c r="E79" s="239" t="str">
        <f>$E$3</f>
        <v>( Add new test result )</v>
      </c>
      <c r="F79" s="239"/>
      <c r="G79" s="239"/>
      <c r="H79" s="66"/>
    </row>
    <row r="80" spans="1:8" ht="45">
      <c r="A80" s="52">
        <f>IF(AND(B80&lt;&gt;"",C80&lt;&gt;"",LEFT(B80,1)&lt;&gt;"#"),MAX($A$2:A79)+1,"")</f>
        <v>35</v>
      </c>
      <c r="B80" s="21" t="s">
        <v>164</v>
      </c>
      <c r="C80" s="91" t="s">
        <v>14</v>
      </c>
      <c r="D80" s="51"/>
      <c r="E80" s="56"/>
      <c r="F80" s="26" t="str">
        <f t="shared" ref="F80" ca="1" si="15">IF(E80&lt;&gt;"",NOW(),"")</f>
        <v/>
      </c>
      <c r="G80" s="69"/>
      <c r="H80" s="67"/>
    </row>
    <row r="81" spans="1:8">
      <c r="A81" s="58"/>
      <c r="B81" s="102" t="str">
        <f>$B$3</f>
        <v>( Add new test case )</v>
      </c>
      <c r="C81" s="99" t="str">
        <f>$C$3</f>
        <v>( Remove previous test result )</v>
      </c>
      <c r="D81" s="103"/>
      <c r="E81" s="239" t="str">
        <f>$E$3</f>
        <v>( Add new test result )</v>
      </c>
      <c r="F81" s="239"/>
      <c r="G81" s="239"/>
      <c r="H81" s="66"/>
    </row>
    <row r="82" spans="1:8" ht="30">
      <c r="A82" s="52">
        <f>IF(AND(B82&lt;&gt;"",C82&lt;&gt;"",LEFT(B82,1)&lt;&gt;"#"),MAX($A$2:A81)+1,"")</f>
        <v>36</v>
      </c>
      <c r="B82" s="21" t="s">
        <v>165</v>
      </c>
      <c r="C82" s="91" t="s">
        <v>15</v>
      </c>
      <c r="D82" s="51"/>
      <c r="E82" s="56"/>
      <c r="F82" s="26" t="str">
        <f t="shared" ref="F82" ca="1" si="16">IF(E82&lt;&gt;"",NOW(),"")</f>
        <v/>
      </c>
      <c r="G82" s="69"/>
      <c r="H82" s="67"/>
    </row>
    <row r="83" spans="1:8">
      <c r="A83" s="58"/>
      <c r="B83" s="102" t="str">
        <f>$B$3</f>
        <v>( Add new test case )</v>
      </c>
      <c r="C83" s="99" t="str">
        <f>$C$3</f>
        <v>( Remove previous test result )</v>
      </c>
      <c r="D83" s="103"/>
      <c r="E83" s="239" t="str">
        <f>$E$3</f>
        <v>( Add new test result )</v>
      </c>
      <c r="F83" s="239"/>
      <c r="G83" s="239"/>
      <c r="H83" s="66"/>
    </row>
    <row r="84" spans="1:8" ht="45">
      <c r="A84" s="52">
        <f>IF(AND(B84&lt;&gt;"",C84&lt;&gt;"",LEFT(B84,1)&lt;&gt;"#"),MAX($A$2:A83)+1,"")</f>
        <v>37</v>
      </c>
      <c r="B84" s="21" t="s">
        <v>166</v>
      </c>
      <c r="C84" s="91" t="s">
        <v>16</v>
      </c>
      <c r="D84" s="51"/>
      <c r="E84" s="56"/>
      <c r="F84" s="26"/>
      <c r="G84" s="69"/>
      <c r="H84" s="81"/>
    </row>
    <row r="85" spans="1:8">
      <c r="A85" s="58"/>
      <c r="B85" s="102" t="str">
        <f>$B$3</f>
        <v>( Add new test case )</v>
      </c>
      <c r="C85" s="99" t="str">
        <f>$C$3</f>
        <v>( Remove previous test result )</v>
      </c>
      <c r="D85" s="103"/>
      <c r="E85" s="239" t="str">
        <f>$E$3</f>
        <v>( Add new test result )</v>
      </c>
      <c r="F85" s="239"/>
      <c r="G85" s="239"/>
      <c r="H85" s="66"/>
    </row>
    <row r="86" spans="1:8" ht="45">
      <c r="A86" s="52">
        <f>IF(AND(B86&lt;&gt;"",C86&lt;&gt;"",LEFT(B86,1)&lt;&gt;"#"),MAX($A$2:A80)+1,"")</f>
        <v>36</v>
      </c>
      <c r="B86" s="21" t="s">
        <v>167</v>
      </c>
      <c r="C86" s="91" t="s">
        <v>17</v>
      </c>
      <c r="D86" s="51"/>
      <c r="E86" s="56"/>
      <c r="F86" s="26"/>
      <c r="G86" s="69"/>
      <c r="H86" s="67"/>
    </row>
    <row r="87" spans="1:8">
      <c r="A87" s="58"/>
      <c r="B87" s="102" t="str">
        <f>$B$3</f>
        <v>( Add new test case )</v>
      </c>
      <c r="C87" s="99" t="str">
        <f>$C$3</f>
        <v>( Remove previous test result )</v>
      </c>
      <c r="D87" s="103"/>
      <c r="E87" s="239" t="str">
        <f>$E$3</f>
        <v>( Add new test result )</v>
      </c>
      <c r="F87" s="239"/>
      <c r="G87" s="239"/>
      <c r="H87" s="66"/>
    </row>
    <row r="88" spans="1:8" ht="45">
      <c r="A88" s="52">
        <f>IF(AND(B88&lt;&gt;"",C88&lt;&gt;"",LEFT(B88,1)&lt;&gt;"#"),MAX($A$2:A87)+1,"")</f>
        <v>38</v>
      </c>
      <c r="B88" s="21" t="s">
        <v>51</v>
      </c>
      <c r="C88" s="91" t="s">
        <v>18</v>
      </c>
      <c r="D88" s="51"/>
      <c r="E88" s="56"/>
      <c r="F88" s="26"/>
      <c r="G88" s="69"/>
      <c r="H88" s="67"/>
    </row>
    <row r="89" spans="1:8">
      <c r="A89" s="58"/>
      <c r="B89" s="102" t="str">
        <f>$B$3</f>
        <v>( Add new test case )</v>
      </c>
      <c r="C89" s="99" t="str">
        <f>$C$3</f>
        <v>( Remove previous test result )</v>
      </c>
      <c r="D89" s="103"/>
      <c r="E89" s="239" t="str">
        <f>$E$3</f>
        <v>( Add new test result )</v>
      </c>
      <c r="F89" s="239"/>
      <c r="G89" s="239"/>
      <c r="H89" s="66"/>
    </row>
    <row r="90" spans="1:8" ht="15.75">
      <c r="A90" s="124" t="str">
        <f>IF(AND(B90&lt;&gt;"",C90&lt;&gt;"",LEFT(B90,1)&lt;&gt;"#"),MAX(#REF!)+1,"")</f>
        <v/>
      </c>
      <c r="B90" s="149" t="s">
        <v>173</v>
      </c>
      <c r="C90" s="125"/>
      <c r="D90" s="126"/>
      <c r="E90" s="127"/>
      <c r="F90" s="128"/>
      <c r="G90" s="128"/>
      <c r="H90" s="130"/>
    </row>
    <row r="91" spans="1:8" ht="30">
      <c r="A91" s="52">
        <f>IF(AND(B91&lt;&gt;"",C91&lt;&gt;"",LEFT(B91,1)&lt;&gt;"#"),MAX($A$2:A89)+1,"")</f>
        <v>39</v>
      </c>
      <c r="B91" s="14" t="s">
        <v>502</v>
      </c>
      <c r="C91" s="86" t="s">
        <v>25</v>
      </c>
      <c r="D91" s="51"/>
      <c r="E91" s="56"/>
      <c r="F91" s="26" t="str">
        <f t="shared" ref="F91" ca="1" si="17">IF(E91&lt;&gt;"",NOW(),"")</f>
        <v/>
      </c>
      <c r="G91" s="69"/>
      <c r="H91" s="65"/>
    </row>
    <row r="92" spans="1:8">
      <c r="A92" s="58"/>
      <c r="B92" s="102" t="str">
        <f>$B$3</f>
        <v>( Add new test case )</v>
      </c>
      <c r="C92" s="99" t="str">
        <f>$C$3</f>
        <v>( Remove previous test result )</v>
      </c>
      <c r="D92" s="103"/>
      <c r="E92" s="239" t="str">
        <f>$E$3</f>
        <v>( Add new test result )</v>
      </c>
      <c r="F92" s="239"/>
      <c r="G92" s="239"/>
      <c r="H92" s="66"/>
    </row>
    <row r="93" spans="1:8" ht="30">
      <c r="A93" s="52">
        <f>IF(AND(B93&lt;&gt;"",C93&lt;&gt;"",LEFT(B93,1)&lt;&gt;"#"),MAX($A$2:A92)+1,"")</f>
        <v>40</v>
      </c>
      <c r="B93" s="15" t="s">
        <v>174</v>
      </c>
      <c r="C93" s="87" t="s">
        <v>20</v>
      </c>
      <c r="D93" s="51"/>
      <c r="E93" s="56"/>
      <c r="F93" s="26" t="str">
        <f t="shared" ref="F93" ca="1" si="18">IF(E93&lt;&gt;"",NOW(),"")</f>
        <v/>
      </c>
      <c r="G93" s="69"/>
      <c r="H93" s="67"/>
    </row>
    <row r="94" spans="1:8">
      <c r="A94" s="58"/>
      <c r="B94" s="102" t="str">
        <f>$B$3</f>
        <v>( Add new test case )</v>
      </c>
      <c r="C94" s="99" t="str">
        <f>$C$3</f>
        <v>( Remove previous test result )</v>
      </c>
      <c r="D94" s="103"/>
      <c r="E94" s="239" t="str">
        <f>$E$3</f>
        <v>( Add new test result )</v>
      </c>
      <c r="F94" s="239"/>
      <c r="G94" s="239"/>
      <c r="H94" s="66"/>
    </row>
    <row r="95" spans="1:8" ht="60">
      <c r="A95" s="52">
        <f>IF(AND(B95&lt;&gt;"",C95&lt;&gt;"",LEFT(B95,1)&lt;&gt;"#"),MAX($A$2:A94)+1,"")</f>
        <v>41</v>
      </c>
      <c r="B95" s="15" t="s">
        <v>175</v>
      </c>
      <c r="C95" s="87" t="s">
        <v>30</v>
      </c>
      <c r="D95" s="51"/>
      <c r="E95" s="56"/>
      <c r="F95" s="26" t="str">
        <f t="shared" ref="F95" ca="1" si="19">IF(E95&lt;&gt;"",NOW(),"")</f>
        <v/>
      </c>
      <c r="G95" s="69"/>
      <c r="H95" s="67"/>
    </row>
    <row r="96" spans="1:8">
      <c r="A96" s="58"/>
      <c r="B96" s="102" t="str">
        <f>$B$3</f>
        <v>( Add new test case )</v>
      </c>
      <c r="C96" s="99" t="str">
        <f>$C$3</f>
        <v>( Remove previous test result )</v>
      </c>
      <c r="D96" s="103"/>
      <c r="E96" s="239" t="str">
        <f>$E$3</f>
        <v>( Add new test result )</v>
      </c>
      <c r="F96" s="239"/>
      <c r="G96" s="239"/>
      <c r="H96" s="66"/>
    </row>
    <row r="97" spans="1:8" ht="45">
      <c r="A97" s="52">
        <f>IF(AND(B97&lt;&gt;"",C97&lt;&gt;"",LEFT(B97,1)&lt;&gt;"#"),MAX($A$2:A96)+1,"")</f>
        <v>42</v>
      </c>
      <c r="B97" s="15" t="s">
        <v>176</v>
      </c>
      <c r="C97" s="87" t="s">
        <v>21</v>
      </c>
      <c r="D97" s="51"/>
      <c r="E97" s="56"/>
      <c r="F97" s="26"/>
      <c r="G97" s="69"/>
      <c r="H97" s="241" t="s">
        <v>230</v>
      </c>
    </row>
    <row r="98" spans="1:8">
      <c r="A98" s="58"/>
      <c r="B98" s="102" t="str">
        <f>$B$3</f>
        <v>( Add new test case )</v>
      </c>
      <c r="C98" s="99" t="str">
        <f>$C$3</f>
        <v>( Remove previous test result )</v>
      </c>
      <c r="D98" s="103"/>
      <c r="E98" s="239" t="str">
        <f>$E$3</f>
        <v>( Add new test result )</v>
      </c>
      <c r="F98" s="239"/>
      <c r="G98" s="239"/>
      <c r="H98" s="66"/>
    </row>
    <row r="99" spans="1:8" ht="60">
      <c r="A99" s="52">
        <f>IF(AND(B99&lt;&gt;"",C99&lt;&gt;"",LEFT(B99,1)&lt;&gt;"#"),MAX($A$2:A93)+1,"")</f>
        <v>41</v>
      </c>
      <c r="B99" s="15" t="s">
        <v>503</v>
      </c>
      <c r="C99" s="87" t="s">
        <v>63</v>
      </c>
      <c r="D99" s="153"/>
      <c r="E99" s="56"/>
      <c r="F99" s="26"/>
      <c r="G99" s="69"/>
      <c r="H99" s="67"/>
    </row>
    <row r="100" spans="1:8">
      <c r="A100" s="121"/>
      <c r="B100" s="122" t="str">
        <f>$B$3</f>
        <v>( Add new test case )</v>
      </c>
      <c r="C100" s="123" t="str">
        <f>$C$3</f>
        <v>( Remove previous test result )</v>
      </c>
      <c r="D100" s="103"/>
      <c r="E100" s="239" t="str">
        <f>$E$3</f>
        <v>( Add new test result )</v>
      </c>
      <c r="F100" s="239"/>
      <c r="G100" s="239"/>
      <c r="H100" s="83"/>
    </row>
    <row r="101" spans="1:8" ht="15.75">
      <c r="A101" s="124" t="str">
        <f>IF(AND(B101&lt;&gt;"",C101&lt;&gt;"",LEFT(B101,1)&lt;&gt;"#"),MAX($A$2:A27)+1,"")</f>
        <v/>
      </c>
      <c r="B101" s="150" t="s">
        <v>469</v>
      </c>
      <c r="C101" s="125"/>
      <c r="D101" s="126"/>
      <c r="E101" s="127"/>
      <c r="F101" s="128"/>
      <c r="G101" s="128"/>
      <c r="H101" s="130"/>
    </row>
    <row r="102" spans="1:8" ht="30">
      <c r="A102" s="53" t="str">
        <f>IF(AND(B102&lt;&gt;"",C102&lt;&gt;"",LEFT(B102,1)&lt;&gt;"#"),MAX($A$2:A101)+1,"")</f>
        <v/>
      </c>
      <c r="B102" s="14" t="s">
        <v>504</v>
      </c>
      <c r="C102" s="14" t="s">
        <v>32</v>
      </c>
      <c r="D102" s="51"/>
      <c r="E102" s="56"/>
      <c r="F102" s="26" t="str">
        <f t="shared" ref="F102" ca="1" si="20">IF(E102&lt;&gt;"",NOW(),"")</f>
        <v/>
      </c>
      <c r="G102" s="69"/>
      <c r="H102" s="68"/>
    </row>
    <row r="103" spans="1:8">
      <c r="A103" s="121"/>
      <c r="B103" s="122" t="str">
        <f>$B$3</f>
        <v>( Add new test case )</v>
      </c>
      <c r="C103" s="123" t="str">
        <f>$C$3</f>
        <v>( Remove previous test result )</v>
      </c>
      <c r="D103" s="103"/>
      <c r="E103" s="239" t="str">
        <f>$E$3</f>
        <v>( Add new test result )</v>
      </c>
      <c r="F103" s="239"/>
      <c r="G103" s="239"/>
      <c r="H103" s="83"/>
    </row>
  </sheetData>
  <sheetProtection password="88A1" sheet="1" objects="1" scenarios="1" selectLockedCells="1" sort="0" autoFilter="0"/>
  <protectedRanges>
    <protectedRange password="DDDF" sqref="H1:XFD4 H105:XFD1048576 A105:G1048576 A1:G4" name="courseadmin" securityDescriptor="O:WDG:WDD:(A;;CC;;;S-1-5-21-1065746463-197919211-1947940980-1133)(A;;CC;;;S-1-5-21-1065746463-197919211-1947940980-1272)(A;;CC;;;S-1-5-21-1065746463-197919211-1947940980-1303)(A;;CC;;;S-1-5-21-1065746463-197919211-1947940980-1127)"/>
    <protectedRange password="DDDF" sqref="A5:XFD104"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2">
    <dataValidation type="list" allowBlank="1" showInputMessage="1" showErrorMessage="1" sqref="E102 E9 E69 E15 E17 E21 E23 E2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23 G25 G9 G69 G15 G17 G21 G19 G28 G73 G7 G34 G38 G36 G32 G30 G40 G46 G50 G48 G44 G42 G57 G63 G67 G65 G61 G59 G11 G13 G52 G54 G84 G71 G78 G82 G80 G76 G97 G86 G91 G95 G93 G88 G99 G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103"/>
  <sheetViews>
    <sheetView showGridLines="0" workbookViewId="0">
      <pane ySplit="2" topLeftCell="A93" activePane="bottomLeft" state="frozen"/>
      <selection pane="bottomLeft" activeCell="E110" sqref="E110"/>
    </sheetView>
  </sheetViews>
  <sheetFormatPr defaultRowHeight="1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9.42578125" style="76" bestFit="1" customWidth="1"/>
    <col min="8" max="8" width="103.140625" style="2" customWidth="1"/>
  </cols>
  <sheetData>
    <row r="1" spans="1:8" s="61" customFormat="1" ht="39.950000000000003" customHeight="1" thickTop="1" thickBot="1">
      <c r="A1" s="231" t="str">
        <f ca="1">MID(CELL("filename",A1),FIND("]",CELL("filename",A1))+1,255)</f>
        <v>TestingDetail-cim-genedadmin</v>
      </c>
      <c r="B1" s="225"/>
      <c r="C1" s="232" t="str">
        <f>ProjectSummary!$D$1</f>
        <v xml:space="preserve"> -  /</v>
      </c>
      <c r="D1" s="226"/>
      <c r="E1" s="226"/>
      <c r="F1" s="226"/>
      <c r="G1" s="202"/>
      <c r="H1" s="203"/>
    </row>
    <row r="2" spans="1:8" s="77" customFormat="1" ht="33" thickTop="1" thickBot="1">
      <c r="A2" s="238" t="s">
        <v>483</v>
      </c>
      <c r="B2" s="204" t="s">
        <v>124</v>
      </c>
      <c r="C2" s="205" t="s">
        <v>0</v>
      </c>
      <c r="D2" s="206" t="s">
        <v>62</v>
      </c>
      <c r="E2" s="206" t="s">
        <v>61</v>
      </c>
      <c r="F2" s="207" t="s">
        <v>58</v>
      </c>
      <c r="G2" s="209" t="s">
        <v>197</v>
      </c>
      <c r="H2" s="210" t="s">
        <v>60</v>
      </c>
    </row>
    <row r="3" spans="1:8" s="25" customFormat="1" ht="19.5" hidden="1" customHeight="1" thickTop="1">
      <c r="A3" s="71"/>
      <c r="B3" s="135" t="s">
        <v>201</v>
      </c>
      <c r="C3" s="136" t="s">
        <v>199</v>
      </c>
      <c r="D3" s="103"/>
      <c r="E3" s="239" t="s">
        <v>200</v>
      </c>
      <c r="F3" s="239"/>
      <c r="G3" s="104"/>
      <c r="H3" s="137"/>
    </row>
    <row r="4" spans="1:8" s="73" customFormat="1" ht="16.5" thickTop="1">
      <c r="A4" s="124" t="str">
        <f>IF(AND(B4&lt;&gt;"",C4&lt;&gt;"",LEFT(B4,1)&lt;&gt;"#"),MAX(#REF!)+1,"")</f>
        <v/>
      </c>
      <c r="B4" s="149" t="s">
        <v>466</v>
      </c>
      <c r="C4" s="125"/>
      <c r="D4" s="126"/>
      <c r="E4" s="127"/>
      <c r="F4" s="128"/>
      <c r="G4" s="129"/>
      <c r="H4" s="130"/>
    </row>
    <row r="5" spans="1:8" ht="30">
      <c r="A5" s="78">
        <f>IF(AND(B5&lt;&gt;"",C5&lt;&gt;"",LEFT(B5,1)&lt;&gt;"#"),MAX($A$2:A4)+1,"")</f>
        <v>1</v>
      </c>
      <c r="B5" s="184" t="s">
        <v>1</v>
      </c>
      <c r="C5" s="185" t="s">
        <v>2</v>
      </c>
      <c r="D5" s="190"/>
      <c r="E5" s="56"/>
      <c r="F5" s="26"/>
      <c r="G5" s="74"/>
      <c r="H5" s="65"/>
    </row>
    <row r="6" spans="1:8">
      <c r="A6" s="188"/>
      <c r="B6" s="135" t="str">
        <f>$B$3</f>
        <v>( Add new test case )</v>
      </c>
      <c r="C6" s="136" t="str">
        <f>$C$3</f>
        <v>( Remove previous test result )</v>
      </c>
      <c r="D6" s="103"/>
      <c r="E6" s="239" t="str">
        <f>$E$3</f>
        <v>( Add new test result )</v>
      </c>
      <c r="F6" s="239"/>
      <c r="G6" s="104"/>
      <c r="H6" s="66"/>
    </row>
    <row r="7" spans="1:8" ht="45">
      <c r="A7" s="52">
        <f>IF(AND(B7&lt;&gt;"",C7&lt;&gt;"",LEFT(B7,1)&lt;&gt;"#"),MAX($A$2:A5)+1,"")</f>
        <v>2</v>
      </c>
      <c r="B7" s="14" t="s">
        <v>486</v>
      </c>
      <c r="C7" s="86" t="s">
        <v>3</v>
      </c>
      <c r="D7" s="51"/>
      <c r="E7" s="56"/>
      <c r="F7" s="26"/>
      <c r="G7" s="74"/>
      <c r="H7" s="67"/>
    </row>
    <row r="8" spans="1:8">
      <c r="A8" s="58"/>
      <c r="B8" s="102" t="str">
        <f>$B$3</f>
        <v>( Add new test case )</v>
      </c>
      <c r="C8" s="99" t="str">
        <f>$C$3</f>
        <v>( Remove previous test result )</v>
      </c>
      <c r="D8" s="103"/>
      <c r="E8" s="239" t="str">
        <f>$E$3</f>
        <v>( Add new test result )</v>
      </c>
      <c r="F8" s="239"/>
      <c r="G8" s="104"/>
      <c r="H8" s="66"/>
    </row>
    <row r="9" spans="1:8" ht="30">
      <c r="A9" s="189">
        <f>IF(AND(B9&lt;&gt;"",C9&lt;&gt;"",LEFT(B9,1)&lt;&gt;"#"),MAX($A$2:A7)+1,"")</f>
        <v>3</v>
      </c>
      <c r="B9" s="186" t="s">
        <v>487</v>
      </c>
      <c r="C9" s="187" t="s">
        <v>5</v>
      </c>
      <c r="D9" s="151"/>
      <c r="E9" s="56"/>
      <c r="F9" s="26"/>
      <c r="G9" s="74"/>
      <c r="H9" s="67"/>
    </row>
    <row r="10" spans="1:8">
      <c r="A10" s="188"/>
      <c r="B10" s="135" t="str">
        <f>$B$3</f>
        <v>( Add new test case )</v>
      </c>
      <c r="C10" s="136" t="str">
        <f>$C$3</f>
        <v>( Remove previous test result )</v>
      </c>
      <c r="D10" s="103"/>
      <c r="E10" s="239" t="str">
        <f>$E$3</f>
        <v>( Add new test result )</v>
      </c>
      <c r="F10" s="239"/>
      <c r="G10" s="104"/>
      <c r="H10" s="66"/>
    </row>
    <row r="11" spans="1:8" ht="30">
      <c r="A11" s="52">
        <f>IF(AND(B11&lt;&gt;"",C11&lt;&gt;"",LEFT(B11,1)&lt;&gt;"#"),MAX($A$2:A10)+1,"")</f>
        <v>4</v>
      </c>
      <c r="B11" s="15" t="s">
        <v>126</v>
      </c>
      <c r="C11" s="87" t="s">
        <v>4</v>
      </c>
      <c r="D11" s="51"/>
      <c r="E11" s="56"/>
      <c r="F11" s="26"/>
      <c r="G11" s="74"/>
      <c r="H11" s="67"/>
    </row>
    <row r="12" spans="1:8">
      <c r="A12" s="58"/>
      <c r="B12" s="79"/>
      <c r="C12" s="79"/>
      <c r="D12" s="103"/>
      <c r="E12" s="239" t="str">
        <f>$E$3</f>
        <v>( Add new test result )</v>
      </c>
      <c r="F12" s="239"/>
      <c r="G12" s="104"/>
      <c r="H12" s="66"/>
    </row>
    <row r="13" spans="1:8" ht="30">
      <c r="A13" s="52">
        <f>IF(AND(B13&lt;&gt;"",C13&lt;&gt;"",LEFT(B13,1)&lt;&gt;"#"),MAX($A$2:A12)+1,"")</f>
        <v>5</v>
      </c>
      <c r="B13" s="15" t="s">
        <v>488</v>
      </c>
      <c r="C13" s="87" t="s">
        <v>6</v>
      </c>
      <c r="D13" s="51"/>
      <c r="E13" s="56"/>
      <c r="F13" s="26"/>
      <c r="G13" s="74"/>
      <c r="H13" s="67"/>
    </row>
    <row r="14" spans="1:8">
      <c r="A14" s="58"/>
      <c r="B14" s="102" t="str">
        <f>$B$3</f>
        <v>( Add new test case )</v>
      </c>
      <c r="C14" s="99" t="str">
        <f>$C$3</f>
        <v>( Remove previous test result )</v>
      </c>
      <c r="D14" s="103"/>
      <c r="E14" s="239" t="str">
        <f>$E$3</f>
        <v>( Add new test result )</v>
      </c>
      <c r="F14" s="239"/>
      <c r="G14" s="104"/>
      <c r="H14" s="66"/>
    </row>
    <row r="15" spans="1:8" ht="30">
      <c r="A15" s="52">
        <f>IF(AND(B15&lt;&gt;"",C15&lt;&gt;"",LEFT(B15,1)&lt;&gt;"#"),MAX($A$2:A14)+1,"")</f>
        <v>6</v>
      </c>
      <c r="B15" s="15" t="s">
        <v>128</v>
      </c>
      <c r="C15" s="87" t="s">
        <v>7</v>
      </c>
      <c r="D15" s="51"/>
      <c r="E15" s="56"/>
      <c r="F15" s="26"/>
      <c r="G15" s="74"/>
      <c r="H15" s="67"/>
    </row>
    <row r="16" spans="1:8">
      <c r="A16" s="58"/>
      <c r="B16" s="102" t="str">
        <f>$B$3</f>
        <v>( Add new test case )</v>
      </c>
      <c r="C16" s="99" t="str">
        <f>$C$3</f>
        <v>( Remove previous test result )</v>
      </c>
      <c r="D16" s="103"/>
      <c r="E16" s="239" t="str">
        <f>$E$3</f>
        <v>( Add new test result )</v>
      </c>
      <c r="F16" s="239"/>
      <c r="G16" s="104"/>
      <c r="H16" s="66"/>
    </row>
    <row r="17" spans="1:8" ht="45">
      <c r="A17" s="52">
        <f>IF(AND(B17&lt;&gt;"",C17&lt;&gt;"",LEFT(B17,1)&lt;&gt;"#"),MAX($A$2:A16)+1,"")</f>
        <v>7</v>
      </c>
      <c r="B17" s="15" t="s">
        <v>129</v>
      </c>
      <c r="C17" s="87" t="s">
        <v>8</v>
      </c>
      <c r="D17" s="51"/>
      <c r="E17" s="56"/>
      <c r="F17" s="26" t="str">
        <f t="shared" ref="F17:F25" ca="1" si="0">IF(E17&lt;&gt;"",NOW(),"")</f>
        <v/>
      </c>
      <c r="G17" s="74"/>
      <c r="H17" s="67"/>
    </row>
    <row r="18" spans="1:8">
      <c r="A18" s="58"/>
      <c r="B18" s="102" t="str">
        <f>$B$3</f>
        <v>( Add new test case )</v>
      </c>
      <c r="C18" s="99" t="str">
        <f>$C$3</f>
        <v>( Remove previous test result )</v>
      </c>
      <c r="D18" s="103"/>
      <c r="E18" s="239" t="str">
        <f>$E$3</f>
        <v>( Add new test result )</v>
      </c>
      <c r="F18" s="239"/>
      <c r="G18" s="104"/>
      <c r="H18" s="66"/>
    </row>
    <row r="19" spans="1:8" ht="60">
      <c r="A19" s="52">
        <f>IF(AND(B19&lt;&gt;"",C19&lt;&gt;"",LEFT(B19,1)&lt;&gt;"#"),MAX($A$2:A18)+1,"")</f>
        <v>8</v>
      </c>
      <c r="B19" s="16" t="s">
        <v>489</v>
      </c>
      <c r="C19" s="16" t="s">
        <v>202</v>
      </c>
      <c r="D19" s="51"/>
      <c r="E19" s="56"/>
      <c r="F19" s="26"/>
      <c r="G19" s="74"/>
      <c r="H19" s="67"/>
    </row>
    <row r="20" spans="1:8">
      <c r="A20" s="58"/>
      <c r="B20" s="102" t="str">
        <f>$B$3</f>
        <v>( Add new test case )</v>
      </c>
      <c r="C20" s="99" t="str">
        <f>$C$3</f>
        <v>( Remove previous test result )</v>
      </c>
      <c r="D20" s="103"/>
      <c r="E20" s="239" t="str">
        <f>$E$3</f>
        <v>( Add new test result )</v>
      </c>
      <c r="F20" s="239"/>
      <c r="G20" s="104"/>
      <c r="H20" s="66"/>
    </row>
    <row r="21" spans="1:8" ht="30">
      <c r="A21" s="52">
        <f>IF(AND(B21&lt;&gt;"",C21&lt;&gt;"",LEFT(B21,1)&lt;&gt;"#"),MAX($A$2:A20)+1,"")</f>
        <v>9</v>
      </c>
      <c r="B21" s="17" t="s">
        <v>130</v>
      </c>
      <c r="C21" s="17" t="s">
        <v>22</v>
      </c>
      <c r="D21" s="51"/>
      <c r="E21" s="56"/>
      <c r="F21" s="26" t="str">
        <f t="shared" ca="1" si="0"/>
        <v/>
      </c>
      <c r="G21" s="74"/>
      <c r="H21" s="67"/>
    </row>
    <row r="22" spans="1:8">
      <c r="A22" s="58"/>
      <c r="B22" s="102" t="str">
        <f>$B$3</f>
        <v>( Add new test case )</v>
      </c>
      <c r="C22" s="99" t="str">
        <f>$C$3</f>
        <v>( Remove previous test result )</v>
      </c>
      <c r="D22" s="103"/>
      <c r="E22" s="239" t="str">
        <f>$E$3</f>
        <v>( Add new test result )</v>
      </c>
      <c r="F22" s="239"/>
      <c r="G22" s="104"/>
      <c r="H22" s="66"/>
    </row>
    <row r="23" spans="1:8" ht="45">
      <c r="A23" s="52">
        <f>IF(AND(B23&lt;&gt;"",C23&lt;&gt;"",LEFT(B23,1)&lt;&gt;"#"),MAX($A$2:A22)+1,"")</f>
        <v>10</v>
      </c>
      <c r="B23" s="16" t="s">
        <v>490</v>
      </c>
      <c r="C23" s="16" t="s">
        <v>203</v>
      </c>
      <c r="D23" s="51"/>
      <c r="E23" s="56"/>
      <c r="F23" s="26" t="str">
        <f t="shared" ca="1" si="0"/>
        <v/>
      </c>
      <c r="G23" s="74"/>
      <c r="H23" s="67"/>
    </row>
    <row r="24" spans="1:8">
      <c r="A24" s="58"/>
      <c r="B24" s="102" t="str">
        <f>$B$3</f>
        <v>( Add new test case )</v>
      </c>
      <c r="C24" s="99" t="str">
        <f>$C$3</f>
        <v>( Remove previous test result )</v>
      </c>
      <c r="D24" s="103"/>
      <c r="E24" s="239" t="str">
        <f>$E$3</f>
        <v>( Add new test result )</v>
      </c>
      <c r="F24" s="239"/>
      <c r="G24" s="104"/>
      <c r="H24" s="66"/>
    </row>
    <row r="25" spans="1:8" ht="45">
      <c r="A25" s="52">
        <f>IF(AND(B25&lt;&gt;"",C25&lt;&gt;"",LEFT(B25,1)&lt;&gt;"#"),MAX($A$2:A24)+1,"")</f>
        <v>11</v>
      </c>
      <c r="B25" s="16" t="s">
        <v>131</v>
      </c>
      <c r="C25" s="16" t="s">
        <v>27</v>
      </c>
      <c r="D25" s="51"/>
      <c r="E25" s="56"/>
      <c r="F25" s="26" t="str">
        <f t="shared" ca="1" si="0"/>
        <v/>
      </c>
      <c r="G25" s="74"/>
      <c r="H25" s="67"/>
    </row>
    <row r="26" spans="1:8">
      <c r="A26" s="58"/>
      <c r="B26" s="102" t="str">
        <f>$B$3</f>
        <v>( Add new test case )</v>
      </c>
      <c r="C26" s="99" t="str">
        <f>$C$3</f>
        <v>( Remove previous test result )</v>
      </c>
      <c r="D26" s="103"/>
      <c r="E26" s="239" t="str">
        <f>$E$3</f>
        <v>( Add new test result )</v>
      </c>
      <c r="F26" s="239"/>
      <c r="G26" s="104"/>
      <c r="H26" s="66"/>
    </row>
    <row r="27" spans="1:8" ht="15.75">
      <c r="A27" s="124" t="str">
        <f>IF(AND(B27&lt;&gt;"",C27&lt;&gt;"",LEFT(B27,1)&lt;&gt;"#"),MAX(#REF!)+1,"")</f>
        <v/>
      </c>
      <c r="B27" s="149" t="s">
        <v>67</v>
      </c>
      <c r="C27" s="125"/>
      <c r="D27" s="126"/>
      <c r="E27" s="127"/>
      <c r="F27" s="128"/>
      <c r="G27" s="129"/>
      <c r="H27" s="130"/>
    </row>
    <row r="28" spans="1:8" ht="30">
      <c r="A28" s="52">
        <f>IF(AND(B28&lt;&gt;"",C28&lt;&gt;"",LEFT(B28,1)&lt;&gt;"#"),MAX($A$2:A27)+1,"")</f>
        <v>12</v>
      </c>
      <c r="B28" s="18" t="s">
        <v>142</v>
      </c>
      <c r="C28" s="88" t="s">
        <v>26</v>
      </c>
      <c r="D28" s="51"/>
      <c r="E28" s="56"/>
      <c r="F28" s="26"/>
      <c r="G28" s="74"/>
      <c r="H28" s="65"/>
    </row>
    <row r="29" spans="1:8">
      <c r="A29" s="58"/>
      <c r="B29" s="102" t="str">
        <f>$B$3</f>
        <v>( Add new test case )</v>
      </c>
      <c r="C29" s="99" t="str">
        <f>$C$3</f>
        <v>( Remove previous test result )</v>
      </c>
      <c r="D29" s="103"/>
      <c r="E29" s="239" t="str">
        <f>$E$3</f>
        <v>( Add new test result )</v>
      </c>
      <c r="F29" s="239"/>
      <c r="G29" s="104"/>
      <c r="H29" s="66"/>
    </row>
    <row r="30" spans="1:8" ht="60">
      <c r="A30" s="52">
        <f>IF(AND(B30&lt;&gt;"",C30&lt;&gt;"",LEFT(B30,1)&lt;&gt;"#"),MAX($A$2:A29)+1,"")</f>
        <v>13</v>
      </c>
      <c r="B30" s="19" t="s">
        <v>143</v>
      </c>
      <c r="C30" s="89" t="s">
        <v>204</v>
      </c>
      <c r="D30" s="51"/>
      <c r="E30" s="56"/>
      <c r="F30" s="26"/>
      <c r="G30" s="74"/>
      <c r="H30" s="241"/>
    </row>
    <row r="31" spans="1:8">
      <c r="A31" s="58"/>
      <c r="B31" s="102" t="str">
        <f>$B$3</f>
        <v>( Add new test case )</v>
      </c>
      <c r="C31" s="99" t="str">
        <f>$C$3</f>
        <v>( Remove previous test result )</v>
      </c>
      <c r="D31" s="103"/>
      <c r="E31" s="239" t="str">
        <f>$E$3</f>
        <v>( Add new test result )</v>
      </c>
      <c r="F31" s="239"/>
      <c r="G31" s="104"/>
      <c r="H31" s="66"/>
    </row>
    <row r="32" spans="1:8" ht="30">
      <c r="A32" s="52">
        <f>IF(AND(B32&lt;&gt;"",C32&lt;&gt;"",LEFT(B32,1)&lt;&gt;"#"),MAX($A$2:A31)+1,"")</f>
        <v>14</v>
      </c>
      <c r="B32" s="19" t="s">
        <v>491</v>
      </c>
      <c r="C32" s="89" t="s">
        <v>205</v>
      </c>
      <c r="D32" s="51"/>
      <c r="E32" s="56"/>
      <c r="F32" s="26" t="str">
        <f t="shared" ref="F32" ca="1" si="1">IF(E32&lt;&gt;"",NOW(),"")</f>
        <v/>
      </c>
      <c r="G32" s="74"/>
      <c r="H32" s="241"/>
    </row>
    <row r="33" spans="1:8">
      <c r="A33" s="58"/>
      <c r="B33" s="102" t="str">
        <f>$B$3</f>
        <v>( Add new test case )</v>
      </c>
      <c r="C33" s="99" t="str">
        <f>$C$3</f>
        <v>( Remove previous test result )</v>
      </c>
      <c r="D33" s="103"/>
      <c r="E33" s="239" t="str">
        <f>$E$3</f>
        <v>( Add new test result )</v>
      </c>
      <c r="F33" s="239"/>
      <c r="G33" s="104"/>
      <c r="H33" s="66"/>
    </row>
    <row r="34" spans="1:8" ht="30">
      <c r="A34" s="52">
        <f>IF(AND(B34&lt;&gt;"",C34&lt;&gt;"",LEFT(B34,1)&lt;&gt;"#"),MAX($A$2:A33)+1,"")</f>
        <v>15</v>
      </c>
      <c r="B34" s="19" t="s">
        <v>147</v>
      </c>
      <c r="C34" s="89" t="s">
        <v>28</v>
      </c>
      <c r="D34" s="51"/>
      <c r="E34" s="56"/>
      <c r="F34" s="26" t="str">
        <f t="shared" ref="F34" ca="1" si="2">IF(E34&lt;&gt;"",NOW(),"")</f>
        <v/>
      </c>
      <c r="G34" s="74"/>
      <c r="H34" s="241"/>
    </row>
    <row r="35" spans="1:8">
      <c r="A35" s="58"/>
      <c r="B35" s="102" t="str">
        <f>$B$3</f>
        <v>( Add new test case )</v>
      </c>
      <c r="C35" s="99" t="str">
        <f>$C$3</f>
        <v>( Remove previous test result )</v>
      </c>
      <c r="D35" s="103"/>
      <c r="E35" s="239" t="str">
        <f>$E$3</f>
        <v>( Add new test result )</v>
      </c>
      <c r="F35" s="239"/>
      <c r="G35" s="104"/>
      <c r="H35" s="66"/>
    </row>
    <row r="36" spans="1:8" ht="45">
      <c r="A36" s="52">
        <f>IF(AND(B36&lt;&gt;"",C36&lt;&gt;"",LEFT(B36,1)&lt;&gt;"#"),MAX($A$2:A35)+1,"")</f>
        <v>16</v>
      </c>
      <c r="B36" s="19" t="s">
        <v>492</v>
      </c>
      <c r="C36" s="89" t="s">
        <v>493</v>
      </c>
      <c r="D36" s="51"/>
      <c r="E36" s="56"/>
      <c r="F36" s="26" t="str">
        <f t="shared" ref="F36" ca="1" si="3">IF(E36&lt;&gt;"",NOW(),"")</f>
        <v/>
      </c>
      <c r="G36" s="74"/>
      <c r="H36" s="67"/>
    </row>
    <row r="37" spans="1:8">
      <c r="A37" s="58"/>
      <c r="B37" s="102" t="str">
        <f>$B$3</f>
        <v>( Add new test case )</v>
      </c>
      <c r="C37" s="99" t="str">
        <f>$C$3</f>
        <v>( Remove previous test result )</v>
      </c>
      <c r="D37" s="103"/>
      <c r="E37" s="239" t="str">
        <f>$E$3</f>
        <v>( Add new test result )</v>
      </c>
      <c r="F37" s="239"/>
      <c r="G37" s="104"/>
      <c r="H37" s="66"/>
    </row>
    <row r="38" spans="1:8" ht="30">
      <c r="A38" s="52">
        <f>IF(AND(B38&lt;&gt;"",C38&lt;&gt;"",LEFT(B38,1)&lt;&gt;"#"),MAX($A$2:A37)+1,"")</f>
        <v>17</v>
      </c>
      <c r="B38" s="19" t="s">
        <v>494</v>
      </c>
      <c r="C38" s="89" t="s">
        <v>206</v>
      </c>
      <c r="D38" s="51"/>
      <c r="E38" s="56"/>
      <c r="F38" s="118" t="str">
        <f t="shared" ref="F38" ca="1" si="4">IF(E38&lt;&gt;"",NOW(),"")</f>
        <v/>
      </c>
      <c r="G38" s="74"/>
      <c r="H38" s="67"/>
    </row>
    <row r="39" spans="1:8">
      <c r="A39" s="58"/>
      <c r="B39" s="102" t="str">
        <f>$B$3</f>
        <v>( Add new test case )</v>
      </c>
      <c r="C39" s="99" t="str">
        <f>$C$3</f>
        <v>( Remove previous test result )</v>
      </c>
      <c r="D39" s="103"/>
      <c r="E39" s="239" t="str">
        <f>$E$3</f>
        <v>( Add new test result )</v>
      </c>
      <c r="F39" s="239"/>
      <c r="G39" s="104"/>
      <c r="H39" s="66"/>
    </row>
    <row r="40" spans="1:8" ht="45">
      <c r="A40" s="52">
        <f>IF(AND(B40&lt;&gt;"",C40&lt;&gt;"",LEFT(B40,1)&lt;&gt;"#"),MAX($A$2:A39)+1,"")</f>
        <v>18</v>
      </c>
      <c r="B40" s="19" t="s">
        <v>148</v>
      </c>
      <c r="C40" s="89" t="s">
        <v>9</v>
      </c>
      <c r="D40" s="51"/>
      <c r="E40" s="56"/>
      <c r="F40" s="26"/>
      <c r="G40" s="74"/>
      <c r="H40" s="67"/>
    </row>
    <row r="41" spans="1:8">
      <c r="A41" s="58"/>
      <c r="B41" s="102" t="str">
        <f>$B$3</f>
        <v>( Add new test case )</v>
      </c>
      <c r="C41" s="99" t="str">
        <f>$C$3</f>
        <v>( Remove previous test result )</v>
      </c>
      <c r="D41" s="103"/>
      <c r="E41" s="239" t="str">
        <f>$E$3</f>
        <v>( Add new test result )</v>
      </c>
      <c r="F41" s="239"/>
      <c r="G41" s="104"/>
      <c r="H41" s="66"/>
    </row>
    <row r="42" spans="1:8" ht="60">
      <c r="A42" s="52">
        <f>IF(AND(B42&lt;&gt;"",C42&lt;&gt;"",LEFT(B42,1)&lt;&gt;"#"),MAX($A$2:A41)+1,"")</f>
        <v>19</v>
      </c>
      <c r="B42" s="19" t="s">
        <v>149</v>
      </c>
      <c r="C42" s="89" t="s">
        <v>10</v>
      </c>
      <c r="D42" s="51"/>
      <c r="E42" s="56"/>
      <c r="F42" s="26"/>
      <c r="G42" s="74"/>
      <c r="H42" s="67"/>
    </row>
    <row r="43" spans="1:8">
      <c r="A43" s="58"/>
      <c r="B43" s="102" t="str">
        <f>$B$3</f>
        <v>( Add new test case )</v>
      </c>
      <c r="C43" s="99" t="str">
        <f>$C$3</f>
        <v>( Remove previous test result )</v>
      </c>
      <c r="D43" s="103"/>
      <c r="E43" s="239" t="str">
        <f>$E$3</f>
        <v>( Add new test result )</v>
      </c>
      <c r="F43" s="239"/>
      <c r="G43" s="104"/>
      <c r="H43" s="66"/>
    </row>
    <row r="44" spans="1:8" ht="75">
      <c r="A44" s="52">
        <f>IF(AND(B44&lt;&gt;"",C44&lt;&gt;"",LEFT(B44,1)&lt;&gt;"#"),MAX($A$2:A43)+1,"")</f>
        <v>20</v>
      </c>
      <c r="B44" s="19" t="s">
        <v>150</v>
      </c>
      <c r="C44" s="89" t="s">
        <v>31</v>
      </c>
      <c r="D44" s="51"/>
      <c r="E44" s="56"/>
      <c r="F44" s="26" t="str">
        <f t="shared" ref="F44" ca="1" si="5">IF(E44&lt;&gt;"",NOW(),"")</f>
        <v/>
      </c>
      <c r="G44" s="74"/>
      <c r="H44" s="67"/>
    </row>
    <row r="45" spans="1:8">
      <c r="A45" s="58"/>
      <c r="B45" s="102" t="str">
        <f>$B$3</f>
        <v>( Add new test case )</v>
      </c>
      <c r="C45" s="99" t="str">
        <f>$C$3</f>
        <v>( Remove previous test result )</v>
      </c>
      <c r="D45" s="103"/>
      <c r="E45" s="239" t="str">
        <f>$E$3</f>
        <v>( Add new test result )</v>
      </c>
      <c r="F45" s="239"/>
      <c r="G45" s="104"/>
      <c r="H45" s="66"/>
    </row>
    <row r="46" spans="1:8" ht="45">
      <c r="A46" s="52">
        <f>IF(AND(B46&lt;&gt;"",C46&lt;&gt;"",LEFT(B46,1)&lt;&gt;"#"),MAX($A$2:A45)+1,"")</f>
        <v>21</v>
      </c>
      <c r="B46" s="19" t="s">
        <v>152</v>
      </c>
      <c r="C46" s="89" t="s">
        <v>11</v>
      </c>
      <c r="D46" s="51"/>
      <c r="E46" s="56"/>
      <c r="F46" s="26" t="str">
        <f t="shared" ref="F46" ca="1" si="6">IF(E46&lt;&gt;"",NOW(),"")</f>
        <v/>
      </c>
      <c r="G46" s="74"/>
      <c r="H46" s="67"/>
    </row>
    <row r="47" spans="1:8">
      <c r="A47" s="58"/>
      <c r="B47" s="102" t="str">
        <f>$B$3</f>
        <v>( Add new test case )</v>
      </c>
      <c r="C47" s="99" t="str">
        <f>$C$3</f>
        <v>( Remove previous test result )</v>
      </c>
      <c r="D47" s="103"/>
      <c r="E47" s="239" t="str">
        <f>$E$3</f>
        <v>( Add new test result )</v>
      </c>
      <c r="F47" s="239"/>
      <c r="G47" s="104"/>
      <c r="H47" s="66"/>
    </row>
    <row r="48" spans="1:8" ht="60">
      <c r="A48" s="52">
        <f>IF(AND(B48&lt;&gt;"",C48&lt;&gt;"",LEFT(B48,1)&lt;&gt;"#"),MAX($A$2:A47)+1,"")</f>
        <v>22</v>
      </c>
      <c r="B48" s="19" t="s">
        <v>495</v>
      </c>
      <c r="C48" s="89" t="s">
        <v>29</v>
      </c>
      <c r="D48" s="51"/>
      <c r="E48" s="56"/>
      <c r="F48" s="26" t="str">
        <f t="shared" ref="F48" ca="1" si="7">IF(E48&lt;&gt;"",NOW(),"")</f>
        <v/>
      </c>
      <c r="G48" s="74"/>
      <c r="H48" s="67"/>
    </row>
    <row r="49" spans="1:8">
      <c r="A49" s="58"/>
      <c r="B49" s="102" t="str">
        <f>$B$3</f>
        <v>( Add new test case )</v>
      </c>
      <c r="C49" s="99" t="str">
        <f>$C$3</f>
        <v>( Remove previous test result )</v>
      </c>
      <c r="D49" s="103"/>
      <c r="E49" s="239" t="str">
        <f>$E$3</f>
        <v>( Add new test result )</v>
      </c>
      <c r="F49" s="239"/>
      <c r="G49" s="104"/>
      <c r="H49" s="66"/>
    </row>
    <row r="50" spans="1:8" ht="105">
      <c r="A50" s="52">
        <f>IF(AND(B50&lt;&gt;"",C50&lt;&gt;"",LEFT(B50,1)&lt;&gt;"#"),MAX($A$2:A49)+1,"")</f>
        <v>23</v>
      </c>
      <c r="B50" s="19" t="s">
        <v>154</v>
      </c>
      <c r="C50" s="89" t="s">
        <v>24</v>
      </c>
      <c r="D50" s="51"/>
      <c r="E50" s="56"/>
      <c r="F50" s="26" t="str">
        <f t="shared" ref="F50" ca="1" si="8">IF(E50&lt;&gt;"",NOW(),"")</f>
        <v/>
      </c>
      <c r="G50" s="74"/>
      <c r="H50" s="67"/>
    </row>
    <row r="51" spans="1:8">
      <c r="A51" s="58"/>
      <c r="B51" s="102" t="str">
        <f>$B$3</f>
        <v>( Add new test case )</v>
      </c>
      <c r="C51" s="99" t="str">
        <f>$C$3</f>
        <v>( Remove previous test result )</v>
      </c>
      <c r="D51" s="103"/>
      <c r="E51" s="239" t="str">
        <f>$E$3</f>
        <v>( Add new test result )</v>
      </c>
      <c r="F51" s="239"/>
      <c r="G51" s="104"/>
      <c r="H51" s="66"/>
    </row>
    <row r="52" spans="1:8">
      <c r="A52" s="52">
        <f>IF(AND(B52&lt;&gt;"",C52&lt;&gt;"",LEFT(B52,1)&lt;&gt;"#"),MAX($A$2:A51)+1,"")</f>
        <v>24</v>
      </c>
      <c r="B52" s="93" t="s">
        <v>207</v>
      </c>
      <c r="C52" s="93" t="s">
        <v>208</v>
      </c>
      <c r="D52" s="51"/>
      <c r="E52" s="56"/>
      <c r="F52" s="26"/>
      <c r="G52" s="74"/>
      <c r="H52" s="242"/>
    </row>
    <row r="53" spans="1:8">
      <c r="A53" s="58"/>
      <c r="B53" s="102" t="str">
        <f>$B$3</f>
        <v>( Add new test case )</v>
      </c>
      <c r="C53" s="99" t="str">
        <f>$C$3</f>
        <v>( Remove previous test result )</v>
      </c>
      <c r="D53" s="103"/>
      <c r="E53" s="239" t="str">
        <f>$E$3</f>
        <v>( Add new test result )</v>
      </c>
      <c r="F53" s="239"/>
      <c r="G53" s="104"/>
      <c r="H53" s="66"/>
    </row>
    <row r="54" spans="1:8" ht="30">
      <c r="A54" s="52">
        <f>IF(AND(B54&lt;&gt;"",C54&lt;&gt;"",LEFT(B54,1)&lt;&gt;"#"),MAX($A$2:A53)+1,"")</f>
        <v>25</v>
      </c>
      <c r="B54" s="97" t="s">
        <v>210</v>
      </c>
      <c r="C54" s="243" t="s">
        <v>211</v>
      </c>
      <c r="D54" s="51"/>
      <c r="E54" s="56"/>
      <c r="F54" s="26"/>
      <c r="G54" s="74"/>
      <c r="H54" s="241"/>
    </row>
    <row r="55" spans="1:8">
      <c r="A55" s="121"/>
      <c r="B55" s="122" t="str">
        <f>$B$3</f>
        <v>( Add new test case )</v>
      </c>
      <c r="C55" s="123" t="str">
        <f>$C$3</f>
        <v>( Remove previous test result )</v>
      </c>
      <c r="D55" s="100"/>
      <c r="E55" s="240" t="str">
        <f>$E$3</f>
        <v>( Add new test result )</v>
      </c>
      <c r="F55" s="240"/>
      <c r="G55" s="101"/>
      <c r="H55" s="83"/>
    </row>
    <row r="56" spans="1:8" ht="15.75">
      <c r="A56" s="124" t="str">
        <f>IF(AND(B56&lt;&gt;"",C56&lt;&gt;"",LEFT(B56,1)&lt;&gt;"#"),MAX(#REF!)+1,"")</f>
        <v/>
      </c>
      <c r="B56" s="149" t="s">
        <v>212</v>
      </c>
      <c r="C56" s="125"/>
      <c r="D56" s="126"/>
      <c r="E56" s="127"/>
      <c r="F56" s="128"/>
      <c r="G56" s="129"/>
      <c r="H56" s="130"/>
    </row>
    <row r="57" spans="1:8" ht="45">
      <c r="A57" s="52">
        <f>IF(AND(B57&lt;&gt;"",C57&lt;&gt;"",LEFT(B57,1)&lt;&gt;"#"),MAX($A$2:A51)+1,"")</f>
        <v>24</v>
      </c>
      <c r="B57" s="14" t="s">
        <v>496</v>
      </c>
      <c r="C57" s="86" t="s">
        <v>214</v>
      </c>
      <c r="D57" s="51"/>
      <c r="E57" s="56"/>
      <c r="F57" s="26"/>
      <c r="G57" s="74"/>
      <c r="H57" s="65"/>
    </row>
    <row r="58" spans="1:8">
      <c r="A58" s="58"/>
      <c r="B58" s="102" t="str">
        <f>$B$3</f>
        <v>( Add new test case )</v>
      </c>
      <c r="C58" s="99" t="str">
        <f>$C$3</f>
        <v>( Remove previous test result )</v>
      </c>
      <c r="D58" s="103"/>
      <c r="E58" s="239" t="str">
        <f>$E$3</f>
        <v>( Add new test result )</v>
      </c>
      <c r="F58" s="239"/>
      <c r="G58" s="104"/>
      <c r="H58" s="66"/>
    </row>
    <row r="59" spans="1:8" ht="60">
      <c r="A59" s="52">
        <f>IF(AND(B59&lt;&gt;"",C59&lt;&gt;"",LEFT(B59,1)&lt;&gt;"#"),MAX($A$2:A58)+1,"")</f>
        <v>26</v>
      </c>
      <c r="B59" s="15" t="s">
        <v>497</v>
      </c>
      <c r="C59" s="87" t="s">
        <v>216</v>
      </c>
      <c r="D59" s="51"/>
      <c r="E59" s="56"/>
      <c r="F59" s="26"/>
      <c r="G59" s="74"/>
      <c r="H59" s="67"/>
    </row>
    <row r="60" spans="1:8">
      <c r="A60" s="58"/>
      <c r="B60" s="102" t="str">
        <f>$B$3</f>
        <v>( Add new test case )</v>
      </c>
      <c r="C60" s="99" t="str">
        <f>$C$3</f>
        <v>( Remove previous test result )</v>
      </c>
      <c r="D60" s="103"/>
      <c r="E60" s="239" t="str">
        <f>$E$3</f>
        <v>( Add new test result )</v>
      </c>
      <c r="F60" s="239"/>
      <c r="G60" s="104"/>
      <c r="H60" s="66"/>
    </row>
    <row r="61" spans="1:8" ht="45">
      <c r="A61" s="52">
        <f>IF(AND(B61&lt;&gt;"",C61&lt;&gt;"",LEFT(B61,1)&lt;&gt;"#"),MAX($A$2:A60)+1,"")</f>
        <v>27</v>
      </c>
      <c r="B61" s="15" t="s">
        <v>498</v>
      </c>
      <c r="C61" s="87" t="s">
        <v>218</v>
      </c>
      <c r="D61" s="51"/>
      <c r="E61" s="56"/>
      <c r="F61" s="118" t="str">
        <f t="shared" ref="F61" ca="1" si="9">IF(E61&lt;&gt;"",NOW(),"")</f>
        <v/>
      </c>
      <c r="G61" s="74"/>
      <c r="H61" s="67"/>
    </row>
    <row r="62" spans="1:8">
      <c r="A62" s="58"/>
      <c r="B62" s="102" t="str">
        <f>$B$3</f>
        <v>( Add new test case )</v>
      </c>
      <c r="C62" s="99" t="str">
        <f>$C$3</f>
        <v>( Remove previous test result )</v>
      </c>
      <c r="D62" s="103"/>
      <c r="E62" s="239" t="str">
        <f>$E$3</f>
        <v>( Add new test result )</v>
      </c>
      <c r="F62" s="239"/>
      <c r="G62" s="104"/>
      <c r="H62" s="66"/>
    </row>
    <row r="63" spans="1:8" ht="30">
      <c r="A63" s="52">
        <f>IF(AND(B63&lt;&gt;"",C63&lt;&gt;"",LEFT(B63,1)&lt;&gt;"#"),MAX($A$2:A62)+1,"")</f>
        <v>28</v>
      </c>
      <c r="B63" s="15" t="s">
        <v>156</v>
      </c>
      <c r="C63" s="87" t="s">
        <v>219</v>
      </c>
      <c r="D63" s="51"/>
      <c r="E63" s="56"/>
      <c r="F63" s="26" t="str">
        <f t="shared" ref="F63" ca="1" si="10">IF(E63&lt;&gt;"",NOW(),"")</f>
        <v/>
      </c>
      <c r="G63" s="74"/>
      <c r="H63" s="120"/>
    </row>
    <row r="64" spans="1:8">
      <c r="A64" s="58"/>
      <c r="B64" s="102" t="str">
        <f>$B$3</f>
        <v>( Add new test case )</v>
      </c>
      <c r="C64" s="99" t="str">
        <f>$C$3</f>
        <v>( Remove previous test result )</v>
      </c>
      <c r="D64" s="103"/>
      <c r="E64" s="239" t="str">
        <f>$E$3</f>
        <v>( Add new test result )</v>
      </c>
      <c r="F64" s="239"/>
      <c r="G64" s="104"/>
      <c r="H64" s="119"/>
    </row>
    <row r="65" spans="1:8" ht="30">
      <c r="A65" s="52">
        <f>IF(AND(B65&lt;&gt;"",C65&lt;&gt;"",LEFT(B65,1)&lt;&gt;"#"),MAX($A$2:A64)+1,"")</f>
        <v>29</v>
      </c>
      <c r="B65" s="15" t="s">
        <v>158</v>
      </c>
      <c r="C65" s="87" t="s">
        <v>12</v>
      </c>
      <c r="D65" s="51"/>
      <c r="E65" s="56"/>
      <c r="F65" s="26" t="str">
        <f t="shared" ref="F65" ca="1" si="11">IF(E65&lt;&gt;"",NOW(),"")</f>
        <v/>
      </c>
      <c r="G65" s="74"/>
      <c r="H65" s="241"/>
    </row>
    <row r="66" spans="1:8">
      <c r="A66" s="58"/>
      <c r="B66" s="102" t="str">
        <f>$B$3</f>
        <v>( Add new test case )</v>
      </c>
      <c r="C66" s="99" t="str">
        <f>$C$3</f>
        <v>( Remove previous test result )</v>
      </c>
      <c r="D66" s="103"/>
      <c r="E66" s="239" t="str">
        <f>$E$3</f>
        <v>( Add new test result )</v>
      </c>
      <c r="F66" s="239"/>
      <c r="G66" s="104"/>
      <c r="H66" s="66"/>
    </row>
    <row r="67" spans="1:8" ht="45">
      <c r="A67" s="52">
        <f>IF(AND(B67&lt;&gt;"",C67&lt;&gt;"",LEFT(B67,1)&lt;&gt;"#"),MAX($A$2:A66)+1,"")</f>
        <v>30</v>
      </c>
      <c r="B67" s="15" t="s">
        <v>499</v>
      </c>
      <c r="C67" s="87" t="s">
        <v>220</v>
      </c>
      <c r="D67" s="51"/>
      <c r="E67" s="56"/>
      <c r="F67" s="26" t="str">
        <f t="shared" ref="F67" ca="1" si="12">IF(E67&lt;&gt;"",NOW(),"")</f>
        <v/>
      </c>
      <c r="G67" s="74"/>
      <c r="H67" s="67"/>
    </row>
    <row r="68" spans="1:8">
      <c r="A68" s="58"/>
      <c r="B68" s="102" t="str">
        <f>$B$3</f>
        <v>( Add new test case )</v>
      </c>
      <c r="C68" s="99" t="str">
        <f>$C$3</f>
        <v>( Remove previous test result )</v>
      </c>
      <c r="D68" s="103"/>
      <c r="E68" s="239" t="str">
        <f>$E$3</f>
        <v>( Add new test result )</v>
      </c>
      <c r="F68" s="239"/>
      <c r="G68" s="104"/>
      <c r="H68" s="66"/>
    </row>
    <row r="69" spans="1:8" ht="60">
      <c r="A69" s="52">
        <f>IF(AND(B69&lt;&gt;"",C69&lt;&gt;"",LEFT(B69,1)&lt;&gt;"#"),MAX($A$2:A68)+1,"")</f>
        <v>31</v>
      </c>
      <c r="B69" s="15" t="s">
        <v>500</v>
      </c>
      <c r="C69" s="87" t="s">
        <v>221</v>
      </c>
      <c r="D69" s="51"/>
      <c r="E69" s="56"/>
      <c r="F69" s="26"/>
      <c r="G69" s="74"/>
      <c r="H69" s="67"/>
    </row>
    <row r="70" spans="1:8">
      <c r="A70" s="58"/>
      <c r="B70" s="102" t="str">
        <f>$B$3</f>
        <v>( Add new test case )</v>
      </c>
      <c r="C70" s="99" t="str">
        <f>$C$3</f>
        <v>( Remove previous test result )</v>
      </c>
      <c r="D70" s="103"/>
      <c r="E70" s="239" t="str">
        <f>$E$3</f>
        <v>( Add new test result )</v>
      </c>
      <c r="F70" s="239"/>
      <c r="G70" s="104"/>
      <c r="H70" s="66"/>
    </row>
    <row r="71" spans="1:8" ht="30">
      <c r="A71" s="52">
        <f>IF(AND(B71&lt;&gt;"",C71&lt;&gt;"",LEFT(B71,1)&lt;&gt;"#"),MAX($A$2:A65)+1,"")</f>
        <v>30</v>
      </c>
      <c r="B71" s="93" t="s">
        <v>222</v>
      </c>
      <c r="C71" s="93" t="s">
        <v>223</v>
      </c>
      <c r="D71" s="51"/>
      <c r="E71" s="56"/>
      <c r="F71" s="26"/>
      <c r="G71" s="74"/>
      <c r="H71" s="80"/>
    </row>
    <row r="72" spans="1:8">
      <c r="A72" s="58"/>
      <c r="B72" s="102" t="str">
        <f>$B$3</f>
        <v>( Add new test case )</v>
      </c>
      <c r="C72" s="99" t="str">
        <f>$C$3</f>
        <v>( Remove previous test result )</v>
      </c>
      <c r="D72" s="103"/>
      <c r="E72" s="239" t="str">
        <f>$E$3</f>
        <v>( Add new test result )</v>
      </c>
      <c r="F72" s="239"/>
      <c r="G72" s="104"/>
      <c r="H72" s="66"/>
    </row>
    <row r="73" spans="1:8" ht="30">
      <c r="A73" s="78">
        <f>IF(AND(B73&lt;&gt;"",C73&lt;&gt;"",LEFT(B73,1)&lt;&gt;"#"),MAX($A$2:A72)+1,"")</f>
        <v>32</v>
      </c>
      <c r="B73" s="244" t="s">
        <v>224</v>
      </c>
      <c r="C73" s="245" t="s">
        <v>225</v>
      </c>
      <c r="D73" s="51"/>
      <c r="E73" s="131"/>
      <c r="F73" s="132"/>
      <c r="G73" s="134"/>
      <c r="H73" s="246" t="s">
        <v>226</v>
      </c>
    </row>
    <row r="74" spans="1:8">
      <c r="A74" s="58"/>
      <c r="B74" s="102" t="str">
        <f>$B$3</f>
        <v>( Add new test case )</v>
      </c>
      <c r="C74" s="99" t="str">
        <f>$C$3</f>
        <v>( Remove previous test result )</v>
      </c>
      <c r="D74" s="103"/>
      <c r="E74" s="239" t="str">
        <f>$E$3</f>
        <v>( Add new test result )</v>
      </c>
      <c r="F74" s="239"/>
      <c r="G74" s="104"/>
      <c r="H74" s="66"/>
    </row>
    <row r="75" spans="1:8" ht="15.75">
      <c r="A75" s="124" t="str">
        <f>IF(AND(B75&lt;&gt;"",C75&lt;&gt;"",LEFT(B75,1)&lt;&gt;"#"),MAX(#REF!)+1,"")</f>
        <v/>
      </c>
      <c r="B75" s="149" t="s">
        <v>68</v>
      </c>
      <c r="C75" s="125"/>
      <c r="D75" s="126"/>
      <c r="E75" s="127"/>
      <c r="F75" s="128"/>
      <c r="G75" s="129"/>
      <c r="H75" s="130"/>
    </row>
    <row r="76" spans="1:8" ht="75">
      <c r="A76" s="52">
        <f>IF(AND(B76&lt;&gt;"",C76&lt;&gt;"",LEFT(B76,1)&lt;&gt;"#"),MAX($A$2:A75)+1,"")</f>
        <v>33</v>
      </c>
      <c r="B76" s="20" t="s">
        <v>162</v>
      </c>
      <c r="C76" s="90" t="s">
        <v>13</v>
      </c>
      <c r="D76" s="51"/>
      <c r="E76" s="56"/>
      <c r="F76" s="26" t="str">
        <f t="shared" ref="F76" ca="1" si="13">IF(E76&lt;&gt;"",NOW(),"")</f>
        <v/>
      </c>
      <c r="G76" s="74"/>
      <c r="H76" s="247"/>
    </row>
    <row r="77" spans="1:8">
      <c r="A77" s="58"/>
      <c r="B77" s="102" t="str">
        <f>$B$3</f>
        <v>( Add new test case )</v>
      </c>
      <c r="C77" s="99" t="str">
        <f>$C$3</f>
        <v>( Remove previous test result )</v>
      </c>
      <c r="D77" s="103"/>
      <c r="E77" s="239" t="str">
        <f>$E$3</f>
        <v>( Add new test result )</v>
      </c>
      <c r="F77" s="239"/>
      <c r="G77" s="104"/>
      <c r="H77" s="66"/>
    </row>
    <row r="78" spans="1:8" ht="30">
      <c r="A78" s="52">
        <f>IF(AND(B78&lt;&gt;"",C78&lt;&gt;"",LEFT(B78,1)&lt;&gt;"#"),MAX($A$2:A77)+1,"")</f>
        <v>34</v>
      </c>
      <c r="B78" s="21" t="s">
        <v>501</v>
      </c>
      <c r="C78" s="91" t="s">
        <v>19</v>
      </c>
      <c r="D78" s="51"/>
      <c r="E78" s="56"/>
      <c r="F78" s="26" t="str">
        <f t="shared" ref="F78" ca="1" si="14">IF(E78&lt;&gt;"",NOW(),"")</f>
        <v/>
      </c>
      <c r="G78" s="74"/>
      <c r="H78" s="67"/>
    </row>
    <row r="79" spans="1:8">
      <c r="A79" s="58"/>
      <c r="B79" s="102" t="str">
        <f>$B$3</f>
        <v>( Add new test case )</v>
      </c>
      <c r="C79" s="99" t="str">
        <f>$C$3</f>
        <v>( Remove previous test result )</v>
      </c>
      <c r="D79" s="103"/>
      <c r="E79" s="239" t="str">
        <f>$E$3</f>
        <v>( Add new test result )</v>
      </c>
      <c r="F79" s="239"/>
      <c r="G79" s="104"/>
      <c r="H79" s="66"/>
    </row>
    <row r="80" spans="1:8" ht="45">
      <c r="A80" s="52">
        <f>IF(AND(B80&lt;&gt;"",C80&lt;&gt;"",LEFT(B80,1)&lt;&gt;"#"),MAX($A$2:A79)+1,"")</f>
        <v>35</v>
      </c>
      <c r="B80" s="21" t="s">
        <v>164</v>
      </c>
      <c r="C80" s="91" t="s">
        <v>14</v>
      </c>
      <c r="D80" s="51"/>
      <c r="E80" s="56"/>
      <c r="F80" s="26" t="str">
        <f t="shared" ref="F80" ca="1" si="15">IF(E80&lt;&gt;"",NOW(),"")</f>
        <v/>
      </c>
      <c r="G80" s="74"/>
      <c r="H80" s="67"/>
    </row>
    <row r="81" spans="1:8">
      <c r="A81" s="58"/>
      <c r="B81" s="102" t="str">
        <f>$B$3</f>
        <v>( Add new test case )</v>
      </c>
      <c r="C81" s="99" t="str">
        <f>$C$3</f>
        <v>( Remove previous test result )</v>
      </c>
      <c r="D81" s="103"/>
      <c r="E81" s="239" t="str">
        <f>$E$3</f>
        <v>( Add new test result )</v>
      </c>
      <c r="F81" s="239"/>
      <c r="G81" s="104"/>
      <c r="H81" s="66"/>
    </row>
    <row r="82" spans="1:8" ht="30">
      <c r="A82" s="52">
        <f>IF(AND(B82&lt;&gt;"",C82&lt;&gt;"",LEFT(B82,1)&lt;&gt;"#"),MAX($A$2:A81)+1,"")</f>
        <v>36</v>
      </c>
      <c r="B82" s="21" t="s">
        <v>165</v>
      </c>
      <c r="C82" s="91" t="s">
        <v>15</v>
      </c>
      <c r="D82" s="51"/>
      <c r="E82" s="56"/>
      <c r="F82" s="26" t="str">
        <f t="shared" ref="F82" ca="1" si="16">IF(E82&lt;&gt;"",NOW(),"")</f>
        <v/>
      </c>
      <c r="G82" s="74"/>
      <c r="H82" s="67"/>
    </row>
    <row r="83" spans="1:8">
      <c r="A83" s="58"/>
      <c r="B83" s="102" t="str">
        <f>$B$3</f>
        <v>( Add new test case )</v>
      </c>
      <c r="C83" s="99" t="str">
        <f>$C$3</f>
        <v>( Remove previous test result )</v>
      </c>
      <c r="D83" s="103"/>
      <c r="E83" s="239" t="str">
        <f>$E$3</f>
        <v>( Add new test result )</v>
      </c>
      <c r="F83" s="239"/>
      <c r="G83" s="104"/>
      <c r="H83" s="66"/>
    </row>
    <row r="84" spans="1:8" ht="45">
      <c r="A84" s="52">
        <f>IF(AND(B84&lt;&gt;"",C84&lt;&gt;"",LEFT(B84,1)&lt;&gt;"#"),MAX($A$2:A83)+1,"")</f>
        <v>37</v>
      </c>
      <c r="B84" s="21" t="s">
        <v>166</v>
      </c>
      <c r="C84" s="91" t="s">
        <v>16</v>
      </c>
      <c r="D84" s="51"/>
      <c r="E84" s="56"/>
      <c r="F84" s="26"/>
      <c r="G84" s="74"/>
      <c r="H84" s="81"/>
    </row>
    <row r="85" spans="1:8">
      <c r="A85" s="58"/>
      <c r="B85" s="102" t="str">
        <f>$B$3</f>
        <v>( Add new test case )</v>
      </c>
      <c r="C85" s="99" t="str">
        <f>$C$3</f>
        <v>( Remove previous test result )</v>
      </c>
      <c r="D85" s="103"/>
      <c r="E85" s="239" t="str">
        <f>$E$3</f>
        <v>( Add new test result )</v>
      </c>
      <c r="F85" s="239"/>
      <c r="G85" s="104"/>
      <c r="H85" s="66"/>
    </row>
    <row r="86" spans="1:8" ht="45">
      <c r="A86" s="52">
        <f>IF(AND(B86&lt;&gt;"",C86&lt;&gt;"",LEFT(B86,1)&lt;&gt;"#"),MAX($A$2:A80)+1,"")</f>
        <v>36</v>
      </c>
      <c r="B86" s="21" t="s">
        <v>167</v>
      </c>
      <c r="C86" s="91" t="s">
        <v>17</v>
      </c>
      <c r="D86" s="51"/>
      <c r="E86" s="56"/>
      <c r="F86" s="26"/>
      <c r="G86" s="74"/>
      <c r="H86" s="67"/>
    </row>
    <row r="87" spans="1:8">
      <c r="A87" s="58"/>
      <c r="B87" s="102" t="str">
        <f>$B$3</f>
        <v>( Add new test case )</v>
      </c>
      <c r="C87" s="99" t="str">
        <f>$C$3</f>
        <v>( Remove previous test result )</v>
      </c>
      <c r="D87" s="103"/>
      <c r="E87" s="239" t="str">
        <f>$E$3</f>
        <v>( Add new test result )</v>
      </c>
      <c r="F87" s="239"/>
      <c r="G87" s="104"/>
      <c r="H87" s="66"/>
    </row>
    <row r="88" spans="1:8" ht="45">
      <c r="A88" s="52">
        <f>IF(AND(B88&lt;&gt;"",C88&lt;&gt;"",LEFT(B88,1)&lt;&gt;"#"),MAX($A$2:A87)+1,"")</f>
        <v>38</v>
      </c>
      <c r="B88" s="21" t="s">
        <v>51</v>
      </c>
      <c r="C88" s="91" t="s">
        <v>18</v>
      </c>
      <c r="D88" s="51"/>
      <c r="E88" s="56"/>
      <c r="F88" s="26"/>
      <c r="G88" s="74"/>
      <c r="H88" s="67"/>
    </row>
    <row r="89" spans="1:8">
      <c r="A89" s="58"/>
      <c r="B89" s="102" t="str">
        <f>$B$3</f>
        <v>( Add new test case )</v>
      </c>
      <c r="C89" s="99" t="str">
        <f>$C$3</f>
        <v>( Remove previous test result )</v>
      </c>
      <c r="D89" s="103"/>
      <c r="E89" s="239" t="str">
        <f>$E$3</f>
        <v>( Add new test result )</v>
      </c>
      <c r="F89" s="239"/>
      <c r="G89" s="104"/>
      <c r="H89" s="66"/>
    </row>
    <row r="90" spans="1:8" ht="15.75">
      <c r="A90" s="124" t="str">
        <f>IF(AND(B90&lt;&gt;"",C90&lt;&gt;"",LEFT(B90,1)&lt;&gt;"#"),MAX(#REF!)+1,"")</f>
        <v/>
      </c>
      <c r="B90" s="149" t="s">
        <v>173</v>
      </c>
      <c r="C90" s="125"/>
      <c r="D90" s="126"/>
      <c r="E90" s="127"/>
      <c r="F90" s="128"/>
      <c r="G90" s="129"/>
      <c r="H90" s="130"/>
    </row>
    <row r="91" spans="1:8" ht="30">
      <c r="A91" s="52">
        <f>IF(AND(B91&lt;&gt;"",C91&lt;&gt;"",LEFT(B91,1)&lt;&gt;"#"),MAX($A$2:A89)+1,"")</f>
        <v>39</v>
      </c>
      <c r="B91" s="14" t="s">
        <v>502</v>
      </c>
      <c r="C91" s="86" t="s">
        <v>25</v>
      </c>
      <c r="D91" s="51"/>
      <c r="E91" s="56"/>
      <c r="F91" s="26" t="str">
        <f t="shared" ref="F91" ca="1" si="17">IF(E91&lt;&gt;"",NOW(),"")</f>
        <v/>
      </c>
      <c r="G91" s="74"/>
      <c r="H91" s="65"/>
    </row>
    <row r="92" spans="1:8">
      <c r="A92" s="58"/>
      <c r="B92" s="102" t="str">
        <f>$B$3</f>
        <v>( Add new test case )</v>
      </c>
      <c r="C92" s="99" t="str">
        <f>$C$3</f>
        <v>( Remove previous test result )</v>
      </c>
      <c r="D92" s="103"/>
      <c r="E92" s="239" t="str">
        <f>$E$3</f>
        <v>( Add new test result )</v>
      </c>
      <c r="F92" s="239"/>
      <c r="G92" s="104"/>
      <c r="H92" s="66"/>
    </row>
    <row r="93" spans="1:8" ht="30">
      <c r="A93" s="52">
        <f>IF(AND(B93&lt;&gt;"",C93&lt;&gt;"",LEFT(B93,1)&lt;&gt;"#"),MAX($A$2:A92)+1,"")</f>
        <v>40</v>
      </c>
      <c r="B93" s="15" t="s">
        <v>174</v>
      </c>
      <c r="C93" s="87" t="s">
        <v>20</v>
      </c>
      <c r="D93" s="51"/>
      <c r="E93" s="56"/>
      <c r="F93" s="26" t="str">
        <f t="shared" ref="F93" ca="1" si="18">IF(E93&lt;&gt;"",NOW(),"")</f>
        <v/>
      </c>
      <c r="G93" s="74"/>
      <c r="H93" s="67"/>
    </row>
    <row r="94" spans="1:8">
      <c r="A94" s="58"/>
      <c r="B94" s="102" t="str">
        <f>$B$3</f>
        <v>( Add new test case )</v>
      </c>
      <c r="C94" s="99" t="str">
        <f>$C$3</f>
        <v>( Remove previous test result )</v>
      </c>
      <c r="D94" s="103"/>
      <c r="E94" s="239" t="str">
        <f>$E$3</f>
        <v>( Add new test result )</v>
      </c>
      <c r="F94" s="239"/>
      <c r="G94" s="104"/>
      <c r="H94" s="66"/>
    </row>
    <row r="95" spans="1:8" ht="60">
      <c r="A95" s="52">
        <f>IF(AND(B95&lt;&gt;"",C95&lt;&gt;"",LEFT(B95,1)&lt;&gt;"#"),MAX($A$2:A94)+1,"")</f>
        <v>41</v>
      </c>
      <c r="B95" s="15" t="s">
        <v>175</v>
      </c>
      <c r="C95" s="87" t="s">
        <v>30</v>
      </c>
      <c r="D95" s="51"/>
      <c r="E95" s="56"/>
      <c r="F95" s="26" t="str">
        <f t="shared" ref="F95" ca="1" si="19">IF(E95&lt;&gt;"",NOW(),"")</f>
        <v/>
      </c>
      <c r="G95" s="74"/>
      <c r="H95" s="67"/>
    </row>
    <row r="96" spans="1:8">
      <c r="A96" s="58"/>
      <c r="B96" s="102" t="str">
        <f>$B$3</f>
        <v>( Add new test case )</v>
      </c>
      <c r="C96" s="99" t="str">
        <f>$C$3</f>
        <v>( Remove previous test result )</v>
      </c>
      <c r="D96" s="103"/>
      <c r="E96" s="239" t="str">
        <f>$E$3</f>
        <v>( Add new test result )</v>
      </c>
      <c r="F96" s="239"/>
      <c r="G96" s="104"/>
      <c r="H96" s="66"/>
    </row>
    <row r="97" spans="1:8" ht="45">
      <c r="A97" s="52">
        <f>IF(AND(B97&lt;&gt;"",C97&lt;&gt;"",LEFT(B97,1)&lt;&gt;"#"),MAX($A$2:A96)+1,"")</f>
        <v>42</v>
      </c>
      <c r="B97" s="15" t="s">
        <v>176</v>
      </c>
      <c r="C97" s="87" t="s">
        <v>21</v>
      </c>
      <c r="D97" s="51"/>
      <c r="E97" s="56"/>
      <c r="F97" s="26"/>
      <c r="G97" s="74"/>
      <c r="H97" s="241" t="s">
        <v>230</v>
      </c>
    </row>
    <row r="98" spans="1:8">
      <c r="A98" s="58"/>
      <c r="B98" s="102" t="str">
        <f>$B$3</f>
        <v>( Add new test case )</v>
      </c>
      <c r="C98" s="99" t="str">
        <f>$C$3</f>
        <v>( Remove previous test result )</v>
      </c>
      <c r="D98" s="103"/>
      <c r="E98" s="239" t="str">
        <f>$E$3</f>
        <v>( Add new test result )</v>
      </c>
      <c r="F98" s="239"/>
      <c r="G98" s="104"/>
      <c r="H98" s="66"/>
    </row>
    <row r="99" spans="1:8" ht="60">
      <c r="A99" s="52">
        <f>IF(AND(B99&lt;&gt;"",C99&lt;&gt;"",LEFT(B99,1)&lt;&gt;"#"),MAX($A$2:A93)+1,"")</f>
        <v>41</v>
      </c>
      <c r="B99" s="15" t="s">
        <v>503</v>
      </c>
      <c r="C99" s="87" t="s">
        <v>63</v>
      </c>
      <c r="D99" s="153"/>
      <c r="E99" s="56"/>
      <c r="F99" s="26"/>
      <c r="G99" s="74"/>
      <c r="H99" s="67"/>
    </row>
    <row r="100" spans="1:8">
      <c r="A100" s="121"/>
      <c r="B100" s="122" t="str">
        <f>$B$3</f>
        <v>( Add new test case )</v>
      </c>
      <c r="C100" s="123" t="str">
        <f>$C$3</f>
        <v>( Remove previous test result )</v>
      </c>
      <c r="D100" s="103"/>
      <c r="E100" s="239" t="str">
        <f>$E$3</f>
        <v>( Add new test result )</v>
      </c>
      <c r="F100" s="239"/>
      <c r="G100" s="104"/>
      <c r="H100" s="83"/>
    </row>
    <row r="101" spans="1:8" ht="15.75">
      <c r="A101" s="124" t="str">
        <f>IF(AND(B101&lt;&gt;"",C101&lt;&gt;"",LEFT(B101,1)&lt;&gt;"#"),MAX($A$2:A27)+1,"")</f>
        <v/>
      </c>
      <c r="B101" s="150" t="s">
        <v>469</v>
      </c>
      <c r="C101" s="125"/>
      <c r="D101" s="126"/>
      <c r="E101" s="127"/>
      <c r="F101" s="128"/>
      <c r="G101" s="129"/>
      <c r="H101" s="130"/>
    </row>
    <row r="102" spans="1:8" ht="30">
      <c r="A102" s="53" t="str">
        <f>IF(AND(B102&lt;&gt;"",C102&lt;&gt;"",LEFT(B102,1)&lt;&gt;"#"),MAX($A$2:A101)+1,"")</f>
        <v/>
      </c>
      <c r="B102" s="14" t="s">
        <v>504</v>
      </c>
      <c r="C102" s="14" t="s">
        <v>32</v>
      </c>
      <c r="D102" s="51"/>
      <c r="E102" s="56"/>
      <c r="F102" s="26" t="str">
        <f t="shared" ref="F102" ca="1" si="20">IF(E102&lt;&gt;"",NOW(),"")</f>
        <v/>
      </c>
      <c r="G102" s="74"/>
      <c r="H102" s="68"/>
    </row>
    <row r="103" spans="1:8">
      <c r="A103" s="121"/>
      <c r="B103" s="122" t="str">
        <f>$B$3</f>
        <v>( Add new test case )</v>
      </c>
      <c r="C103" s="123" t="str">
        <f>$C$3</f>
        <v>( Remove previous test result )</v>
      </c>
      <c r="D103" s="103"/>
      <c r="E103" s="239" t="str">
        <f>$E$3</f>
        <v>( Add new test result )</v>
      </c>
      <c r="F103" s="239"/>
      <c r="G103" s="104"/>
      <c r="H103" s="83"/>
    </row>
  </sheetData>
  <sheetProtection password="88A1" sheet="1" objects="1" scenarios="1" selectLockedCells="1" sort="0" autoFilter="0"/>
  <protectedRanges>
    <protectedRange password="DDDF" sqref="G1:XFD4 G105:XFD1048576 A105:F1048576 A1:F4" name="courseadmin" securityDescriptor="O:WDG:WDD:(A;;CC;;;S-1-5-21-1065746463-197919211-1947940980-1133)(A;;CC;;;S-1-5-21-1065746463-197919211-1947940980-1272)(A;;CC;;;S-1-5-21-1065746463-197919211-1947940980-1303)(A;;CC;;;S-1-5-21-1065746463-197919211-1947940980-1127)"/>
    <protectedRange password="DDDF" sqref="A5:XFD104"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G9 G59 G15 G17 G19 G73 G7 G30 G42 G11 G13 G88 G5">
      <formula1>ValidPhaseQualifiers</formula1>
    </dataValidation>
    <dataValidation type="list" allowBlank="1" showInputMessage="1" showErrorMessage="1" sqref="E102 E9 E69 E15 E17 E21 E23 E2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99 G93 G95 G91 G86 G97 G76 G80 G82 G78 G71 G84 G54 G52 G61 G65 G67 G63 G57 G44 G48 G50 G46 G40 G32 G36 G38 G34 G28 G21 G69 G25 G23">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85"/>
  <sheetViews>
    <sheetView showGridLines="0" workbookViewId="0">
      <pane ySplit="2" topLeftCell="A73" activePane="bottomLeft" state="frozen"/>
      <selection pane="bottomLeft" activeCell="E94" sqref="E94"/>
    </sheetView>
  </sheetViews>
  <sheetFormatPr defaultRowHeight="1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c r="A1" s="231" t="str">
        <f ca="1">MID(CELL("filename",A1),FIND("]",CELL("filename",A1))+1,255)</f>
        <v>TestingDetail-cim-programadmin</v>
      </c>
      <c r="B1" s="225"/>
      <c r="C1" s="226" t="str">
        <f>ProjectSummary!$D$1</f>
        <v xml:space="preserve"> -  /</v>
      </c>
      <c r="D1" s="226"/>
      <c r="E1" s="226"/>
      <c r="F1" s="226"/>
      <c r="G1" s="201"/>
      <c r="H1" s="203"/>
    </row>
    <row r="2" spans="1:8" s="77" customFormat="1" ht="33" thickTop="1" thickBot="1">
      <c r="A2" s="238" t="s">
        <v>483</v>
      </c>
      <c r="B2" s="204" t="s">
        <v>124</v>
      </c>
      <c r="C2" s="211" t="s">
        <v>0</v>
      </c>
      <c r="D2" s="206" t="s">
        <v>62</v>
      </c>
      <c r="E2" s="206" t="s">
        <v>61</v>
      </c>
      <c r="F2" s="207" t="s">
        <v>58</v>
      </c>
      <c r="G2" s="208" t="s">
        <v>196</v>
      </c>
      <c r="H2" s="210" t="s">
        <v>60</v>
      </c>
    </row>
    <row r="3" spans="1:8" s="25" customFormat="1" ht="19.5" hidden="1" customHeight="1" thickTop="1">
      <c r="A3" s="71"/>
      <c r="B3" s="135" t="s">
        <v>201</v>
      </c>
      <c r="C3" s="136" t="s">
        <v>199</v>
      </c>
      <c r="D3" s="103"/>
      <c r="E3" s="239" t="s">
        <v>200</v>
      </c>
      <c r="F3" s="239"/>
      <c r="G3" s="239"/>
      <c r="H3" s="72"/>
    </row>
    <row r="4" spans="1:8" s="73" customFormat="1" ht="16.5" thickTop="1">
      <c r="A4" s="124" t="str">
        <f>IF(AND(B4&lt;&gt;"",C4&lt;&gt;"",LEFT(B4,1)&lt;&gt;"#"),MAX(#REF!)+1,"")</f>
        <v/>
      </c>
      <c r="B4" s="149" t="s">
        <v>466</v>
      </c>
      <c r="C4" s="139"/>
      <c r="D4" s="126"/>
      <c r="E4" s="127"/>
      <c r="F4" s="128"/>
      <c r="G4" s="128"/>
      <c r="H4" s="130"/>
    </row>
    <row r="5" spans="1:8" ht="30">
      <c r="A5" s="52">
        <f>IF(AND(B5&lt;&gt;"",C5&lt;&gt;"",LEFT(B5,1)&lt;&gt;"#"),MAX($A$2:A4)+1,"")</f>
        <v>1</v>
      </c>
      <c r="B5" s="14" t="s">
        <v>1</v>
      </c>
      <c r="C5" s="106" t="s">
        <v>2</v>
      </c>
      <c r="D5" s="51"/>
      <c r="E5" s="56"/>
      <c r="F5" s="26"/>
      <c r="G5" s="69"/>
      <c r="H5" s="67"/>
    </row>
    <row r="6" spans="1:8">
      <c r="A6" s="58"/>
      <c r="B6" s="102" t="str">
        <f>$B$3</f>
        <v>( Add new test case )</v>
      </c>
      <c r="C6" s="105" t="str">
        <f>$C$3</f>
        <v>( Remove previous test result )</v>
      </c>
      <c r="D6" s="103"/>
      <c r="E6" s="239" t="str">
        <f>$E$3</f>
        <v>( Add new test result )</v>
      </c>
      <c r="F6" s="239"/>
      <c r="G6" s="239"/>
      <c r="H6" s="66"/>
    </row>
    <row r="7" spans="1:8" ht="30">
      <c r="A7" s="52">
        <f>IF(AND(B7&lt;&gt;"",C7&lt;&gt;"",LEFT(B7,1)&lt;&gt;"#"),MAX($A$2:A6)+1,"")</f>
        <v>2</v>
      </c>
      <c r="B7" s="14" t="s">
        <v>125</v>
      </c>
      <c r="C7" s="106" t="s">
        <v>133</v>
      </c>
      <c r="D7" s="51"/>
      <c r="E7" s="56"/>
      <c r="F7" s="26"/>
      <c r="G7" s="69"/>
      <c r="H7" s="67"/>
    </row>
    <row r="8" spans="1:8">
      <c r="A8" s="58"/>
      <c r="B8" s="102" t="str">
        <f>$B$3</f>
        <v>( Add new test case )</v>
      </c>
      <c r="C8" s="105" t="str">
        <f>$C$3</f>
        <v>( Remove previous test result )</v>
      </c>
      <c r="D8" s="103"/>
      <c r="E8" s="239" t="str">
        <f>$E$3</f>
        <v>( Add new test result )</v>
      </c>
      <c r="F8" s="239"/>
      <c r="G8" s="239"/>
      <c r="H8" s="66"/>
    </row>
    <row r="9" spans="1:8" ht="30">
      <c r="A9" s="52">
        <f>IF(AND(B9&lt;&gt;"",C9&lt;&gt;"",LEFT(B9,1)&lt;&gt;"#"),MAX($A$2:A8)+1,"")</f>
        <v>3</v>
      </c>
      <c r="B9" s="15" t="s">
        <v>126</v>
      </c>
      <c r="C9" s="107" t="s">
        <v>134</v>
      </c>
      <c r="D9" s="51"/>
      <c r="E9" s="56"/>
      <c r="F9" s="26"/>
      <c r="G9" s="69"/>
      <c r="H9" s="67"/>
    </row>
    <row r="10" spans="1:8">
      <c r="A10" s="58"/>
      <c r="B10" s="102" t="str">
        <f>$B$3</f>
        <v>( Add new test case )</v>
      </c>
      <c r="C10" s="105" t="str">
        <f>$C$3</f>
        <v>( Remove previous test result )</v>
      </c>
      <c r="D10" s="103"/>
      <c r="E10" s="239" t="str">
        <f>$E$3</f>
        <v>( Add new test result )</v>
      </c>
      <c r="F10" s="239"/>
      <c r="G10" s="239"/>
      <c r="H10" s="66"/>
    </row>
    <row r="11" spans="1:8" ht="30">
      <c r="A11" s="52">
        <f>IF(AND(B11&lt;&gt;"",C11&lt;&gt;"",LEFT(B11,1)&lt;&gt;"#"),MAX($A$2:A10)+1,"")</f>
        <v>4</v>
      </c>
      <c r="B11" s="15" t="s">
        <v>127</v>
      </c>
      <c r="C11" s="107" t="s">
        <v>135</v>
      </c>
      <c r="D11" s="51"/>
      <c r="E11" s="56"/>
      <c r="F11" s="26"/>
      <c r="G11" s="69"/>
      <c r="H11" s="67"/>
    </row>
    <row r="12" spans="1:8">
      <c r="A12" s="58"/>
      <c r="B12" s="102" t="str">
        <f>$B$3</f>
        <v>( Add new test case )</v>
      </c>
      <c r="C12" s="105" t="str">
        <f>$C$3</f>
        <v>( Remove previous test result )</v>
      </c>
      <c r="D12" s="103"/>
      <c r="E12" s="239" t="str">
        <f>$E$3</f>
        <v>( Add new test result )</v>
      </c>
      <c r="F12" s="239"/>
      <c r="G12" s="239"/>
      <c r="H12" s="66"/>
    </row>
    <row r="13" spans="1:8" ht="30">
      <c r="A13" s="52">
        <f>IF(AND(B13&lt;&gt;"",C13&lt;&gt;"",LEFT(B13,1)&lt;&gt;"#"),MAX($A$2:A12)+1,"")</f>
        <v>5</v>
      </c>
      <c r="B13" s="15" t="s">
        <v>128</v>
      </c>
      <c r="C13" s="107" t="s">
        <v>136</v>
      </c>
      <c r="D13" s="51"/>
      <c r="E13" s="56"/>
      <c r="F13" s="26"/>
      <c r="G13" s="69"/>
      <c r="H13" s="67"/>
    </row>
    <row r="14" spans="1:8">
      <c r="A14" s="58"/>
      <c r="B14" s="102" t="str">
        <f>$B$3</f>
        <v>( Add new test case )</v>
      </c>
      <c r="C14" s="105" t="str">
        <f>$C$3</f>
        <v>( Remove previous test result )</v>
      </c>
      <c r="D14" s="103"/>
      <c r="E14" s="239" t="str">
        <f>$E$3</f>
        <v>( Add new test result )</v>
      </c>
      <c r="F14" s="239"/>
      <c r="G14" s="239"/>
      <c r="H14" s="66"/>
    </row>
    <row r="15" spans="1:8" ht="45">
      <c r="A15" s="52">
        <f>IF(AND(B15&lt;&gt;"",C15&lt;&gt;"",LEFT(B15,1)&lt;&gt;"#"),MAX($A$2:A14)+1,"")</f>
        <v>6</v>
      </c>
      <c r="B15" s="15" t="s">
        <v>129</v>
      </c>
      <c r="C15" s="107" t="s">
        <v>137</v>
      </c>
      <c r="D15" s="51"/>
      <c r="E15" s="56"/>
      <c r="F15" s="26" t="str">
        <f t="shared" ref="F15:F23" ca="1" si="0">IF(E15&lt;&gt;"",NOW(),"")</f>
        <v/>
      </c>
      <c r="G15" s="69"/>
      <c r="H15" s="67"/>
    </row>
    <row r="16" spans="1:8">
      <c r="A16" s="58"/>
      <c r="B16" s="102" t="str">
        <f>$B$3</f>
        <v>( Add new test case )</v>
      </c>
      <c r="C16" s="105" t="str">
        <f>$C$3</f>
        <v>( Remove previous test result )</v>
      </c>
      <c r="D16" s="103"/>
      <c r="E16" s="239" t="str">
        <f>$E$3</f>
        <v>( Add new test result )</v>
      </c>
      <c r="F16" s="239"/>
      <c r="G16" s="239"/>
      <c r="H16" s="66"/>
    </row>
    <row r="17" spans="1:8" ht="60">
      <c r="A17" s="52">
        <f>IF(AND(B17&lt;&gt;"",C17&lt;&gt;"",LEFT(B17,1)&lt;&gt;"#"),MAX($A$2:A16)+1,"")</f>
        <v>7</v>
      </c>
      <c r="B17" s="15" t="s">
        <v>138</v>
      </c>
      <c r="C17" s="107" t="s">
        <v>139</v>
      </c>
      <c r="D17" s="51"/>
      <c r="E17" s="56"/>
      <c r="F17" s="26"/>
      <c r="G17" s="69"/>
      <c r="H17" s="67"/>
    </row>
    <row r="18" spans="1:8">
      <c r="A18" s="58"/>
      <c r="B18" s="102" t="str">
        <f>$B$3</f>
        <v>( Add new test case )</v>
      </c>
      <c r="C18" s="105" t="str">
        <f>$C$3</f>
        <v>( Remove previous test result )</v>
      </c>
      <c r="D18" s="103"/>
      <c r="E18" s="239" t="str">
        <f>$E$3</f>
        <v>( Add new test result )</v>
      </c>
      <c r="F18" s="239"/>
      <c r="G18" s="239"/>
      <c r="H18" s="66"/>
    </row>
    <row r="19" spans="1:8" ht="30">
      <c r="A19" s="52">
        <f>IF(AND(B19&lt;&gt;"",C19&lt;&gt;"",LEFT(B19,1)&lt;&gt;"#"),MAX($A$2:A18)+1,"")</f>
        <v>8</v>
      </c>
      <c r="B19" s="16" t="s">
        <v>130</v>
      </c>
      <c r="C19" s="108" t="s">
        <v>22</v>
      </c>
      <c r="D19" s="51"/>
      <c r="E19" s="56"/>
      <c r="F19" s="26" t="str">
        <f t="shared" ca="1" si="0"/>
        <v/>
      </c>
      <c r="G19" s="69"/>
      <c r="H19" s="67"/>
    </row>
    <row r="20" spans="1:8">
      <c r="A20" s="58"/>
      <c r="B20" s="102" t="str">
        <f>$B$3</f>
        <v>( Add new test case )</v>
      </c>
      <c r="C20" s="105" t="str">
        <f>$C$3</f>
        <v>( Remove previous test result )</v>
      </c>
      <c r="D20" s="103"/>
      <c r="E20" s="239" t="str">
        <f>$E$3</f>
        <v>( Add new test result )</v>
      </c>
      <c r="F20" s="239"/>
      <c r="G20" s="239"/>
      <c r="H20" s="66"/>
    </row>
    <row r="21" spans="1:8" ht="60">
      <c r="A21" s="52">
        <f>IF(AND(B21&lt;&gt;"",C21&lt;&gt;"",LEFT(B21,1)&lt;&gt;"#"),MAX($A$2:A20)+1,"")</f>
        <v>9</v>
      </c>
      <c r="B21" s="17" t="s">
        <v>140</v>
      </c>
      <c r="C21" s="109" t="s">
        <v>141</v>
      </c>
      <c r="D21" s="51"/>
      <c r="E21" s="56"/>
      <c r="F21" s="26" t="str">
        <f t="shared" ca="1" si="0"/>
        <v/>
      </c>
      <c r="G21" s="69"/>
      <c r="H21" s="67"/>
    </row>
    <row r="22" spans="1:8">
      <c r="A22" s="58"/>
      <c r="B22" s="102" t="str">
        <f>$B$3</f>
        <v>( Add new test case )</v>
      </c>
      <c r="C22" s="105" t="str">
        <f>$C$3</f>
        <v>( Remove previous test result )</v>
      </c>
      <c r="D22" s="103"/>
      <c r="E22" s="239" t="str">
        <f>$E$3</f>
        <v>( Add new test result )</v>
      </c>
      <c r="F22" s="239"/>
      <c r="G22" s="239"/>
      <c r="H22" s="66"/>
    </row>
    <row r="23" spans="1:8" ht="45">
      <c r="A23" s="52">
        <f>IF(AND(B23&lt;&gt;"",C23&lt;&gt;"",LEFT(B23,1)&lt;&gt;"#"),MAX($A$2:A22)+1,"")</f>
        <v>10</v>
      </c>
      <c r="B23" s="16" t="s">
        <v>131</v>
      </c>
      <c r="C23" s="108" t="s">
        <v>27</v>
      </c>
      <c r="D23" s="51"/>
      <c r="E23" s="56"/>
      <c r="F23" s="26" t="str">
        <f t="shared" ca="1" si="0"/>
        <v/>
      </c>
      <c r="G23" s="69"/>
      <c r="H23" s="67"/>
    </row>
    <row r="24" spans="1:8">
      <c r="A24" s="58"/>
      <c r="B24" s="102" t="str">
        <f>$B$3</f>
        <v>( Add new test case )</v>
      </c>
      <c r="C24" s="105" t="str">
        <f>$C$3</f>
        <v>( Remove previous test result )</v>
      </c>
      <c r="D24" s="103"/>
      <c r="E24" s="239" t="str">
        <f>$E$3</f>
        <v>( Add new test result )</v>
      </c>
      <c r="F24" s="239"/>
      <c r="G24" s="239"/>
      <c r="H24" s="66"/>
    </row>
    <row r="25" spans="1:8" ht="15.75">
      <c r="A25" s="124" t="str">
        <f>IF(AND(B25&lt;&gt;"",C25&lt;&gt;"",LEFT(B25,1)&lt;&gt;"#"),MAX(#REF!)+1,"")</f>
        <v/>
      </c>
      <c r="B25" s="149" t="s">
        <v>132</v>
      </c>
      <c r="C25" s="139"/>
      <c r="D25" s="126"/>
      <c r="E25" s="127"/>
      <c r="F25" s="128"/>
      <c r="G25" s="128"/>
      <c r="H25" s="130"/>
    </row>
    <row r="26" spans="1:8" ht="30">
      <c r="A26" s="52">
        <f>IF(AND(B26&lt;&gt;"",C26&lt;&gt;"",LEFT(B26,1)&lt;&gt;"#"),MAX($A$2:A24)+1,"")</f>
        <v>11</v>
      </c>
      <c r="B26" s="18" t="s">
        <v>142</v>
      </c>
      <c r="C26" s="110" t="s">
        <v>26</v>
      </c>
      <c r="D26" s="51"/>
      <c r="E26" s="56"/>
      <c r="F26" s="26"/>
      <c r="G26" s="69"/>
      <c r="H26" s="65"/>
    </row>
    <row r="27" spans="1:8">
      <c r="A27" s="58"/>
      <c r="B27" s="102" t="str">
        <f>$B$3</f>
        <v>( Add new test case )</v>
      </c>
      <c r="C27" s="105" t="str">
        <f>$C$3</f>
        <v>( Remove previous test result )</v>
      </c>
      <c r="D27" s="103"/>
      <c r="E27" s="239" t="str">
        <f>$E$3</f>
        <v>( Add new test result )</v>
      </c>
      <c r="F27" s="239"/>
      <c r="G27" s="239"/>
      <c r="H27" s="66"/>
    </row>
    <row r="28" spans="1:8" ht="60">
      <c r="A28" s="52">
        <f>IF(AND(B28&lt;&gt;"",C28&lt;&gt;"",LEFT(B28,1)&lt;&gt;"#"),MAX($A$2:A27)+1,"")</f>
        <v>12</v>
      </c>
      <c r="B28" s="19" t="s">
        <v>143</v>
      </c>
      <c r="C28" s="111" t="s">
        <v>144</v>
      </c>
      <c r="D28" s="51"/>
      <c r="E28" s="56"/>
      <c r="F28" s="26"/>
      <c r="G28" s="69"/>
      <c r="H28" s="241"/>
    </row>
    <row r="29" spans="1:8">
      <c r="A29" s="58"/>
      <c r="B29" s="102" t="str">
        <f>$B$3</f>
        <v>( Add new test case )</v>
      </c>
      <c r="C29" s="105" t="str">
        <f>$C$3</f>
        <v>( Remove previous test result )</v>
      </c>
      <c r="D29" s="103"/>
      <c r="E29" s="239" t="str">
        <f>$E$3</f>
        <v>( Add new test result )</v>
      </c>
      <c r="F29" s="239"/>
      <c r="G29" s="239"/>
      <c r="H29" s="66"/>
    </row>
    <row r="30" spans="1:8" ht="30">
      <c r="A30" s="52">
        <f>IF(AND(B30&lt;&gt;"",C30&lt;&gt;"",LEFT(B30,1)&lt;&gt;"#"),MAX($A$2:A29)+1,"")</f>
        <v>13</v>
      </c>
      <c r="B30" s="19" t="s">
        <v>145</v>
      </c>
      <c r="C30" s="111" t="s">
        <v>146</v>
      </c>
      <c r="D30" s="51"/>
      <c r="E30" s="56"/>
      <c r="F30" s="26" t="str">
        <f t="shared" ref="F30" ca="1" si="1">IF(E30&lt;&gt;"",NOW(),"")</f>
        <v/>
      </c>
      <c r="G30" s="69"/>
      <c r="H30" s="241"/>
    </row>
    <row r="31" spans="1:8">
      <c r="A31" s="58"/>
      <c r="B31" s="102" t="str">
        <f>$B$3</f>
        <v>( Add new test case )</v>
      </c>
      <c r="C31" s="105" t="str">
        <f>$C$3</f>
        <v>( Remove previous test result )</v>
      </c>
      <c r="D31" s="103"/>
      <c r="E31" s="239" t="str">
        <f>$E$3</f>
        <v>( Add new test result )</v>
      </c>
      <c r="F31" s="239"/>
      <c r="G31" s="239"/>
      <c r="H31" s="66"/>
    </row>
    <row r="32" spans="1:8" ht="60">
      <c r="A32" s="52">
        <f>IF(AND(B32&lt;&gt;"",C32&lt;&gt;"",LEFT(B32,1)&lt;&gt;"#"),MAX($A$2:A31)+1,"")</f>
        <v>14</v>
      </c>
      <c r="B32" s="19" t="s">
        <v>147</v>
      </c>
      <c r="C32" s="111" t="s">
        <v>505</v>
      </c>
      <c r="D32" s="51"/>
      <c r="E32" s="56"/>
      <c r="F32" s="26" t="str">
        <f t="shared" ref="F32" ca="1" si="2">IF(E32&lt;&gt;"",NOW(),"")</f>
        <v/>
      </c>
      <c r="G32" s="69"/>
      <c r="H32" s="241"/>
    </row>
    <row r="33" spans="1:8">
      <c r="A33" s="58"/>
      <c r="B33" s="102" t="str">
        <f>$B$3</f>
        <v>( Add new test case )</v>
      </c>
      <c r="C33" s="105" t="str">
        <f>$C$3</f>
        <v>( Remove previous test result )</v>
      </c>
      <c r="D33" s="103"/>
      <c r="E33" s="239" t="str">
        <f>$E$3</f>
        <v>( Add new test result )</v>
      </c>
      <c r="F33" s="239"/>
      <c r="G33" s="239"/>
      <c r="H33" s="66"/>
    </row>
    <row r="34" spans="1:8" ht="45">
      <c r="A34" s="52">
        <f>IF(AND(B34&lt;&gt;"",C34&lt;&gt;"",LEFT(B34,1)&lt;&gt;"#"),MAX($A$2:A33)+1,"")</f>
        <v>15</v>
      </c>
      <c r="B34" s="19" t="s">
        <v>148</v>
      </c>
      <c r="C34" s="111" t="s">
        <v>9</v>
      </c>
      <c r="D34" s="51"/>
      <c r="E34" s="56"/>
      <c r="F34" s="26" t="str">
        <f t="shared" ref="F34" ca="1" si="3">IF(E34&lt;&gt;"",NOW(),"")</f>
        <v/>
      </c>
      <c r="G34" s="69"/>
      <c r="H34" s="67"/>
    </row>
    <row r="35" spans="1:8">
      <c r="A35" s="58"/>
      <c r="B35" s="102" t="str">
        <f>$B$3</f>
        <v>( Add new test case )</v>
      </c>
      <c r="C35" s="105" t="str">
        <f>$C$3</f>
        <v>( Remove previous test result )</v>
      </c>
      <c r="D35" s="103"/>
      <c r="E35" s="239" t="str">
        <f>$E$3</f>
        <v>( Add new test result )</v>
      </c>
      <c r="F35" s="239"/>
      <c r="G35" s="239"/>
      <c r="H35" s="66"/>
    </row>
    <row r="36" spans="1:8" ht="60">
      <c r="A36" s="52">
        <f>IF(AND(B36&lt;&gt;"",C36&lt;&gt;"",LEFT(B36,1)&lt;&gt;"#"),MAX($A$2:A35)+1,"")</f>
        <v>16</v>
      </c>
      <c r="B36" s="19" t="s">
        <v>149</v>
      </c>
      <c r="C36" s="111" t="s">
        <v>10</v>
      </c>
      <c r="D36" s="51"/>
      <c r="E36" s="56"/>
      <c r="F36" s="26" t="str">
        <f t="shared" ref="F36" ca="1" si="4">IF(E36&lt;&gt;"",NOW(),"")</f>
        <v/>
      </c>
      <c r="G36" s="69"/>
      <c r="H36" s="67"/>
    </row>
    <row r="37" spans="1:8">
      <c r="A37" s="58"/>
      <c r="B37" s="102" t="str">
        <f>$B$3</f>
        <v>( Add new test case )</v>
      </c>
      <c r="C37" s="105" t="str">
        <f>$C$3</f>
        <v>( Remove previous test result )</v>
      </c>
      <c r="D37" s="103"/>
      <c r="E37" s="239" t="str">
        <f>$E$3</f>
        <v>( Add new test result )</v>
      </c>
      <c r="F37" s="239"/>
      <c r="G37" s="239"/>
      <c r="H37" s="66"/>
    </row>
    <row r="38" spans="1:8" ht="75">
      <c r="A38" s="52">
        <f>IF(AND(B38&lt;&gt;"",C38&lt;&gt;"",LEFT(B38,1)&lt;&gt;"#"),MAX($A$2:A37)+1,"")</f>
        <v>17</v>
      </c>
      <c r="B38" s="19" t="s">
        <v>150</v>
      </c>
      <c r="C38" s="111" t="s">
        <v>151</v>
      </c>
      <c r="D38" s="51"/>
      <c r="E38" s="56"/>
      <c r="F38" s="26"/>
      <c r="G38" s="69"/>
      <c r="H38" s="67"/>
    </row>
    <row r="39" spans="1:8">
      <c r="A39" s="58"/>
      <c r="B39" s="102" t="str">
        <f>$B$3</f>
        <v>( Add new test case )</v>
      </c>
      <c r="C39" s="105" t="str">
        <f>$C$3</f>
        <v>( Remove previous test result )</v>
      </c>
      <c r="D39" s="103"/>
      <c r="E39" s="239" t="str">
        <f>$E$3</f>
        <v>( Add new test result )</v>
      </c>
      <c r="F39" s="239"/>
      <c r="G39" s="239"/>
      <c r="H39" s="66"/>
    </row>
    <row r="40" spans="1:8" ht="45">
      <c r="A40" s="52">
        <f>IF(AND(B40&lt;&gt;"",C40&lt;&gt;"",LEFT(B40,1)&lt;&gt;"#"),MAX($A$2:A39)+1,"")</f>
        <v>18</v>
      </c>
      <c r="B40" s="19" t="s">
        <v>152</v>
      </c>
      <c r="C40" s="111" t="s">
        <v>11</v>
      </c>
      <c r="D40" s="51"/>
      <c r="E40" s="56"/>
      <c r="F40" s="26"/>
      <c r="G40" s="69"/>
      <c r="H40" s="67"/>
    </row>
    <row r="41" spans="1:8">
      <c r="A41" s="58"/>
      <c r="B41" s="102" t="str">
        <f>$B$3</f>
        <v>( Add new test case )</v>
      </c>
      <c r="C41" s="105" t="str">
        <f>$C$3</f>
        <v>( Remove previous test result )</v>
      </c>
      <c r="D41" s="103"/>
      <c r="E41" s="239" t="str">
        <f>$E$3</f>
        <v>( Add new test result )</v>
      </c>
      <c r="F41" s="239"/>
      <c r="G41" s="239"/>
      <c r="H41" s="66"/>
    </row>
    <row r="42" spans="1:8" ht="60">
      <c r="A42" s="52">
        <f>IF(AND(B42&lt;&gt;"",C42&lt;&gt;"",LEFT(B42,1)&lt;&gt;"#"),MAX($A$2:A41)+1,"")</f>
        <v>19</v>
      </c>
      <c r="B42" s="19" t="s">
        <v>153</v>
      </c>
      <c r="C42" s="111" t="s">
        <v>506</v>
      </c>
      <c r="D42" s="51"/>
      <c r="E42" s="56"/>
      <c r="F42" s="26" t="str">
        <f t="shared" ref="F42" ca="1" si="5">IF(E42&lt;&gt;"",NOW(),"")</f>
        <v/>
      </c>
      <c r="G42" s="69"/>
      <c r="H42" s="67"/>
    </row>
    <row r="43" spans="1:8">
      <c r="A43" s="58"/>
      <c r="B43" s="102" t="str">
        <f>$B$3</f>
        <v>( Add new test case )</v>
      </c>
      <c r="C43" s="105" t="str">
        <f>$C$3</f>
        <v>( Remove previous test result )</v>
      </c>
      <c r="D43" s="103"/>
      <c r="E43" s="239" t="str">
        <f>$E$3</f>
        <v>( Add new test result )</v>
      </c>
      <c r="F43" s="239"/>
      <c r="G43" s="239"/>
      <c r="H43" s="66"/>
    </row>
    <row r="44" spans="1:8" ht="105">
      <c r="A44" s="52">
        <f>IF(AND(B44&lt;&gt;"",C44&lt;&gt;"",LEFT(B44,1)&lt;&gt;"#"),MAX($A$2:A43)+1,"")</f>
        <v>20</v>
      </c>
      <c r="B44" s="19" t="s">
        <v>154</v>
      </c>
      <c r="C44" s="111" t="s">
        <v>24</v>
      </c>
      <c r="D44" s="51"/>
      <c r="E44" s="56"/>
      <c r="F44" s="26" t="str">
        <f t="shared" ref="F44" ca="1" si="6">IF(E44&lt;&gt;"",NOW(),"")</f>
        <v/>
      </c>
      <c r="G44" s="69"/>
      <c r="H44" s="67"/>
    </row>
    <row r="45" spans="1:8">
      <c r="A45" s="58"/>
      <c r="B45" s="102" t="str">
        <f>$B$3</f>
        <v>( Add new test case )</v>
      </c>
      <c r="C45" s="105" t="str">
        <f>$C$3</f>
        <v>( Remove previous test result )</v>
      </c>
      <c r="D45" s="103"/>
      <c r="E45" s="239" t="str">
        <f>$E$3</f>
        <v>( Add new test result )</v>
      </c>
      <c r="F45" s="239"/>
      <c r="G45" s="239"/>
      <c r="H45" s="66"/>
    </row>
    <row r="46" spans="1:8">
      <c r="A46" s="52">
        <f>IF(AND(B46&lt;&gt;"",C46&lt;&gt;"",LEFT(B46,1)&lt;&gt;"#"),MAX($A$2:A45)+1,"")</f>
        <v>21</v>
      </c>
      <c r="B46" s="97" t="s">
        <v>207</v>
      </c>
      <c r="C46" s="248" t="s">
        <v>208</v>
      </c>
      <c r="D46" s="51"/>
      <c r="E46" s="56"/>
      <c r="F46" s="26" t="str">
        <f t="shared" ref="F46" ca="1" si="7">IF(E46&lt;&gt;"",NOW(),"")</f>
        <v/>
      </c>
      <c r="G46" s="69"/>
      <c r="H46" s="241"/>
    </row>
    <row r="47" spans="1:8">
      <c r="A47" s="121"/>
      <c r="B47" s="122" t="str">
        <f>$B$3</f>
        <v>( Add new test case )</v>
      </c>
      <c r="C47" s="140" t="str">
        <f>$C$3</f>
        <v>( Remove previous test result )</v>
      </c>
      <c r="D47" s="103"/>
      <c r="E47" s="239" t="str">
        <f>$E$3</f>
        <v>( Add new test result )</v>
      </c>
      <c r="F47" s="239"/>
      <c r="G47" s="239"/>
      <c r="H47" s="83"/>
    </row>
    <row r="48" spans="1:8" ht="15.75">
      <c r="A48" s="124" t="str">
        <f>IF(AND(B48&lt;&gt;"",C48&lt;&gt;"",LEFT(B48,1)&lt;&gt;"#"),MAX(#REF!)+1,"")</f>
        <v/>
      </c>
      <c r="B48" s="149" t="s">
        <v>155</v>
      </c>
      <c r="C48" s="139"/>
      <c r="D48" s="126"/>
      <c r="E48" s="127"/>
      <c r="F48" s="128"/>
      <c r="G48" s="128"/>
      <c r="H48" s="130"/>
    </row>
    <row r="49" spans="1:8" ht="30">
      <c r="A49" s="52">
        <f>IF(AND(B49&lt;&gt;"",C49&lt;&gt;"",LEFT(B49,1)&lt;&gt;"#"),MAX($A$2:A47)+1,"")</f>
        <v>22</v>
      </c>
      <c r="B49" s="14" t="s">
        <v>213</v>
      </c>
      <c r="C49" s="112" t="s">
        <v>231</v>
      </c>
      <c r="D49" s="51"/>
      <c r="E49" s="56"/>
      <c r="F49" s="26" t="str">
        <f t="shared" ref="F49" ca="1" si="8">IF(E49&lt;&gt;"",NOW(),"")</f>
        <v/>
      </c>
      <c r="G49" s="69"/>
      <c r="H49" s="65" t="s">
        <v>232</v>
      </c>
    </row>
    <row r="50" spans="1:8">
      <c r="A50" s="58"/>
      <c r="B50" s="102" t="str">
        <f>$B$3</f>
        <v>( Add new test case )</v>
      </c>
      <c r="C50" s="105" t="str">
        <f>$C$3</f>
        <v>( Remove previous test result )</v>
      </c>
      <c r="D50" s="103"/>
      <c r="E50" s="239" t="str">
        <f>$E$3</f>
        <v>( Add new test result )</v>
      </c>
      <c r="F50" s="239"/>
      <c r="G50" s="239"/>
      <c r="H50" s="66"/>
    </row>
    <row r="51" spans="1:8" ht="45">
      <c r="A51" s="52">
        <f>IF(AND(B51&lt;&gt;"",C51&lt;&gt;"",LEFT(B51,1)&lt;&gt;"#"),MAX($A$2:A50)+1,"")</f>
        <v>23</v>
      </c>
      <c r="B51" s="14" t="s">
        <v>156</v>
      </c>
      <c r="C51" s="112" t="s">
        <v>157</v>
      </c>
      <c r="D51" s="51"/>
      <c r="E51" s="56"/>
      <c r="F51" s="26"/>
      <c r="G51" s="69"/>
      <c r="H51" s="241"/>
    </row>
    <row r="52" spans="1:8">
      <c r="A52" s="58"/>
      <c r="B52" s="102" t="str">
        <f>$B$3</f>
        <v>( Add new test case )</v>
      </c>
      <c r="C52" s="105" t="str">
        <f>$C$3</f>
        <v>( Remove previous test result )</v>
      </c>
      <c r="D52" s="103"/>
      <c r="E52" s="239" t="str">
        <f>$E$3</f>
        <v>( Add new test result )</v>
      </c>
      <c r="F52" s="239"/>
      <c r="G52" s="239"/>
      <c r="H52" s="66"/>
    </row>
    <row r="53" spans="1:8" ht="30">
      <c r="A53" s="52">
        <f>IF(AND(B53&lt;&gt;"",C53&lt;&gt;"",LEFT(B53,1)&lt;&gt;"#"),MAX($A$2:A52)+1,"")</f>
        <v>24</v>
      </c>
      <c r="B53" s="15" t="s">
        <v>158</v>
      </c>
      <c r="C53" s="113" t="s">
        <v>159</v>
      </c>
      <c r="D53" s="51"/>
      <c r="E53" s="56"/>
      <c r="F53" s="26"/>
      <c r="G53" s="69"/>
      <c r="H53" s="67"/>
    </row>
    <row r="54" spans="1:8">
      <c r="A54" s="58"/>
      <c r="B54" s="102" t="str">
        <f>$B$3</f>
        <v>( Add new test case )</v>
      </c>
      <c r="C54" s="105" t="str">
        <f>$C$3</f>
        <v>( Remove previous test result )</v>
      </c>
      <c r="D54" s="103"/>
      <c r="E54" s="239" t="str">
        <f>$E$3</f>
        <v>( Add new test result )</v>
      </c>
      <c r="F54" s="239"/>
      <c r="G54" s="239"/>
      <c r="H54" s="66"/>
    </row>
    <row r="55" spans="1:8" ht="45">
      <c r="A55" s="52">
        <f>IF(AND(B55&lt;&gt;"",C55&lt;&gt;"",LEFT(B55,1)&lt;&gt;"#"),MAX($A$2:A54)+1,"")</f>
        <v>25</v>
      </c>
      <c r="B55" s="15" t="s">
        <v>160</v>
      </c>
      <c r="C55" s="113" t="s">
        <v>161</v>
      </c>
      <c r="D55" s="51"/>
      <c r="E55" s="56"/>
      <c r="F55" s="26" t="str">
        <f t="shared" ref="F55" ca="1" si="9">IF(E55&lt;&gt;"",NOW(),"")</f>
        <v/>
      </c>
      <c r="G55" s="69"/>
      <c r="H55" s="67"/>
    </row>
    <row r="56" spans="1:8">
      <c r="A56" s="121"/>
      <c r="B56" s="82" t="str">
        <f>$B$3</f>
        <v>( Add new test case )</v>
      </c>
      <c r="C56" s="138" t="str">
        <f>$C$3</f>
        <v>( Remove previous test result )</v>
      </c>
      <c r="D56" s="103"/>
      <c r="E56" s="239" t="str">
        <f>$E$3</f>
        <v>( Add new test result )</v>
      </c>
      <c r="F56" s="239"/>
      <c r="G56" s="239"/>
      <c r="H56" s="83"/>
    </row>
    <row r="57" spans="1:8" ht="15.75">
      <c r="A57" s="124" t="str">
        <f>IF(AND(B57&lt;&gt;"",C57&lt;&gt;"",LEFT(B57,1)&lt;&gt;"#"),MAX(#REF!)+1,"")</f>
        <v/>
      </c>
      <c r="B57" s="149" t="s">
        <v>68</v>
      </c>
      <c r="C57" s="139"/>
      <c r="D57" s="126"/>
      <c r="E57" s="127"/>
      <c r="F57" s="128"/>
      <c r="G57" s="128"/>
      <c r="H57" s="130"/>
    </row>
    <row r="58" spans="1:8" ht="75">
      <c r="A58" s="52">
        <f>IF(AND(B58&lt;&gt;"",C58&lt;&gt;"",LEFT(B58,1)&lt;&gt;"#"),MAX($A$2:A56)+1,"")</f>
        <v>26</v>
      </c>
      <c r="B58" s="20" t="s">
        <v>162</v>
      </c>
      <c r="C58" s="114" t="s">
        <v>163</v>
      </c>
      <c r="D58" s="51"/>
      <c r="E58" s="56"/>
      <c r="F58" s="26" t="str">
        <f t="shared" ref="F58" ca="1" si="10">IF(E58&lt;&gt;"",NOW(),"")</f>
        <v/>
      </c>
      <c r="G58" s="69"/>
      <c r="H58" s="247"/>
    </row>
    <row r="59" spans="1:8">
      <c r="A59" s="58"/>
      <c r="B59" s="102" t="str">
        <f>$B$3</f>
        <v>( Add new test case )</v>
      </c>
      <c r="C59" s="105" t="str">
        <f>$C$3</f>
        <v>( Remove previous test result )</v>
      </c>
      <c r="D59" s="103"/>
      <c r="E59" s="239" t="str">
        <f>$E$3</f>
        <v>( Add new test result )</v>
      </c>
      <c r="F59" s="239"/>
      <c r="G59" s="239"/>
      <c r="H59" s="66"/>
    </row>
    <row r="60" spans="1:8" ht="30">
      <c r="A60" s="52">
        <f>IF(AND(B60&lt;&gt;"",C60&lt;&gt;"",LEFT(B60,1)&lt;&gt;"#"),MAX($A$2:A59)+1,"")</f>
        <v>27</v>
      </c>
      <c r="B60" s="21" t="s">
        <v>165</v>
      </c>
      <c r="C60" s="115" t="s">
        <v>15</v>
      </c>
      <c r="D60" s="51"/>
      <c r="E60" s="56"/>
      <c r="F60" s="26" t="str">
        <f t="shared" ref="F60" ca="1" si="11">IF(E60&lt;&gt;"",NOW(),"")</f>
        <v/>
      </c>
      <c r="G60" s="69"/>
      <c r="H60" s="67"/>
    </row>
    <row r="61" spans="1:8">
      <c r="A61" s="58"/>
      <c r="B61" s="102" t="str">
        <f>$B$3</f>
        <v>( Add new test case )</v>
      </c>
      <c r="C61" s="105" t="str">
        <f>$C$3</f>
        <v>( Remove previous test result )</v>
      </c>
      <c r="D61" s="103"/>
      <c r="E61" s="239" t="str">
        <f>$E$3</f>
        <v>( Add new test result )</v>
      </c>
      <c r="F61" s="239"/>
      <c r="G61" s="239"/>
      <c r="H61" s="66"/>
    </row>
    <row r="62" spans="1:8" ht="45">
      <c r="A62" s="52">
        <f>IF(AND(B62&lt;&gt;"",C62&lt;&gt;"",LEFT(B62,1)&lt;&gt;"#"),MAX($A$2:A61)+1,"")</f>
        <v>28</v>
      </c>
      <c r="B62" s="21" t="s">
        <v>166</v>
      </c>
      <c r="C62" s="115" t="s">
        <v>16</v>
      </c>
      <c r="D62" s="51"/>
      <c r="E62" s="56"/>
      <c r="F62" s="26"/>
      <c r="G62" s="69"/>
      <c r="H62" s="67"/>
    </row>
    <row r="63" spans="1:8">
      <c r="A63" s="58"/>
      <c r="B63" s="102" t="str">
        <f>$B$3</f>
        <v>( Add new test case )</v>
      </c>
      <c r="C63" s="105" t="str">
        <f>$C$3</f>
        <v>( Remove previous test result )</v>
      </c>
      <c r="D63" s="103"/>
      <c r="E63" s="239" t="str">
        <f>$E$3</f>
        <v>( Add new test result )</v>
      </c>
      <c r="F63" s="239"/>
      <c r="G63" s="239"/>
      <c r="H63" s="66"/>
    </row>
    <row r="64" spans="1:8" ht="45">
      <c r="A64" s="52">
        <f>IF(AND(B64&lt;&gt;"",C64&lt;&gt;"",LEFT(B64,1)&lt;&gt;"#"),MAX($A$2:A63)+1,"")</f>
        <v>29</v>
      </c>
      <c r="B64" s="21" t="s">
        <v>167</v>
      </c>
      <c r="C64" s="115" t="s">
        <v>17</v>
      </c>
      <c r="D64" s="51"/>
      <c r="E64" s="56"/>
      <c r="F64" s="26" t="str">
        <f t="shared" ref="F64" ca="1" si="12">IF(E64&lt;&gt;"",NOW(),"")</f>
        <v/>
      </c>
      <c r="G64" s="69"/>
      <c r="H64" s="241"/>
    </row>
    <row r="65" spans="1:8">
      <c r="A65" s="58"/>
      <c r="B65" s="102" t="str">
        <f>$B$3</f>
        <v>( Add new test case )</v>
      </c>
      <c r="C65" s="105" t="str">
        <f>$C$3</f>
        <v>( Remove previous test result )</v>
      </c>
      <c r="D65" s="103"/>
      <c r="E65" s="239" t="str">
        <f>$E$3</f>
        <v>( Add new test result )</v>
      </c>
      <c r="F65" s="239"/>
      <c r="G65" s="239"/>
      <c r="H65" s="66"/>
    </row>
    <row r="66" spans="1:8" ht="45">
      <c r="A66" s="52">
        <f>IF(AND(B66&lt;&gt;"",C66&lt;&gt;"",LEFT(B66,1)&lt;&gt;"#"),MAX($A$2:A65)+1,"")</f>
        <v>30</v>
      </c>
      <c r="B66" s="21" t="s">
        <v>168</v>
      </c>
      <c r="C66" s="115" t="s">
        <v>18</v>
      </c>
      <c r="D66" s="51"/>
      <c r="E66" s="56"/>
      <c r="F66" s="26" t="str">
        <f t="shared" ref="F66" ca="1" si="13">IF(E66&lt;&gt;"",NOW(),"")</f>
        <v/>
      </c>
      <c r="G66" s="69"/>
      <c r="H66" s="67"/>
    </row>
    <row r="67" spans="1:8">
      <c r="A67" s="58"/>
      <c r="B67" s="102" t="str">
        <f>$B$3</f>
        <v>( Add new test case )</v>
      </c>
      <c r="C67" s="105" t="str">
        <f>$C$3</f>
        <v>( Remove previous test result )</v>
      </c>
      <c r="D67" s="103"/>
      <c r="E67" s="239" t="str">
        <f>$E$3</f>
        <v>( Add new test result )</v>
      </c>
      <c r="F67" s="239"/>
      <c r="G67" s="239"/>
      <c r="H67" s="66"/>
    </row>
    <row r="68" spans="1:8" ht="45">
      <c r="A68" s="52">
        <f>IF(AND(B68&lt;&gt;"",C68&lt;&gt;"",LEFT(B68,1)&lt;&gt;"#"),MAX($A$2:A67)+1,"")</f>
        <v>31</v>
      </c>
      <c r="B68" s="21" t="s">
        <v>169</v>
      </c>
      <c r="C68" s="115" t="s">
        <v>170</v>
      </c>
      <c r="D68" s="51"/>
      <c r="E68" s="56"/>
      <c r="F68" s="26" t="str">
        <f t="shared" ref="F68" ca="1" si="14">IF(E68&lt;&gt;"",NOW(),"")</f>
        <v/>
      </c>
      <c r="G68" s="69"/>
      <c r="H68" s="67"/>
    </row>
    <row r="69" spans="1:8">
      <c r="A69" s="58"/>
      <c r="B69" s="102" t="str">
        <f>$B$3</f>
        <v>( Add new test case )</v>
      </c>
      <c r="C69" s="105" t="str">
        <f>$C$3</f>
        <v>( Remove previous test result )</v>
      </c>
      <c r="D69" s="103"/>
      <c r="E69" s="239" t="str">
        <f>$E$3</f>
        <v>( Add new test result )</v>
      </c>
      <c r="F69" s="239"/>
      <c r="G69" s="239"/>
      <c r="H69" s="66"/>
    </row>
    <row r="70" spans="1:8" ht="60">
      <c r="A70" s="52">
        <f>IF(AND(B70&lt;&gt;"",C70&lt;&gt;"",LEFT(B70,1)&lt;&gt;"#"),MAX($A$2:A69)+1,"")</f>
        <v>32</v>
      </c>
      <c r="B70" s="21" t="s">
        <v>233</v>
      </c>
      <c r="C70" s="115" t="s">
        <v>234</v>
      </c>
      <c r="D70" s="51"/>
      <c r="E70" s="56"/>
      <c r="F70" s="26" t="str">
        <f t="shared" ref="F70" ca="1" si="15">IF(E70&lt;&gt;"",NOW(),"")</f>
        <v/>
      </c>
      <c r="G70" s="69"/>
      <c r="H70" s="67"/>
    </row>
    <row r="71" spans="1:8">
      <c r="A71" s="58"/>
      <c r="B71" s="102" t="str">
        <f>$B$3</f>
        <v>( Add new test case )</v>
      </c>
      <c r="C71" s="105" t="str">
        <f>$C$3</f>
        <v>( Remove previous test result )</v>
      </c>
      <c r="D71" s="103"/>
      <c r="E71" s="239" t="str">
        <f>$E$3</f>
        <v>( Add new test result )</v>
      </c>
      <c r="F71" s="239"/>
      <c r="G71" s="239"/>
      <c r="H71" s="66"/>
    </row>
    <row r="72" spans="1:8" ht="60">
      <c r="A72" s="52">
        <f>IF(AND(B72&lt;&gt;"",C72&lt;&gt;"",LEFT(B72,1)&lt;&gt;"#"),MAX($A$2:A71)+1,"")</f>
        <v>33</v>
      </c>
      <c r="B72" s="21" t="s">
        <v>171</v>
      </c>
      <c r="C72" s="115" t="s">
        <v>172</v>
      </c>
      <c r="D72" s="51"/>
      <c r="E72" s="56"/>
      <c r="F72" s="26"/>
      <c r="G72" s="69"/>
      <c r="H72" s="67"/>
    </row>
    <row r="73" spans="1:8">
      <c r="A73" s="58"/>
      <c r="B73" s="102" t="str">
        <f>$B$3</f>
        <v>( Add new test case )</v>
      </c>
      <c r="C73" s="105" t="str">
        <f>$C$3</f>
        <v>( Remove previous test result )</v>
      </c>
      <c r="D73" s="103"/>
      <c r="E73" s="239" t="str">
        <f>$E$3</f>
        <v>( Add new test result )</v>
      </c>
      <c r="F73" s="239"/>
      <c r="G73" s="239"/>
      <c r="H73" s="66"/>
    </row>
    <row r="74" spans="1:8" ht="30">
      <c r="A74" s="52">
        <f>IF(AND(B74&lt;&gt;"",C74&lt;&gt;"",LEFT(B74,1)&lt;&gt;"#"),MAX($A$2:A73)+1,"")</f>
        <v>34</v>
      </c>
      <c r="B74" s="97" t="s">
        <v>228</v>
      </c>
      <c r="C74" s="249" t="s">
        <v>235</v>
      </c>
      <c r="D74" s="51"/>
      <c r="E74" s="56"/>
      <c r="F74" s="26"/>
      <c r="G74" s="69"/>
      <c r="H74" s="241"/>
    </row>
    <row r="75" spans="1:8">
      <c r="A75" s="121"/>
      <c r="B75" s="122" t="str">
        <f>$B$3</f>
        <v>( Add new test case )</v>
      </c>
      <c r="C75" s="140" t="str">
        <f>$C$3</f>
        <v>( Remove previous test result )</v>
      </c>
      <c r="D75" s="103"/>
      <c r="E75" s="239" t="str">
        <f>$E$3</f>
        <v>( Add new test result )</v>
      </c>
      <c r="F75" s="239"/>
      <c r="G75" s="239"/>
      <c r="H75" s="83"/>
    </row>
    <row r="76" spans="1:8" ht="15.75">
      <c r="A76" s="124" t="str">
        <f>IF(AND(B76&lt;&gt;"",C76&lt;&gt;"",LEFT(B76,1)&lt;&gt;"#"),MAX($A$2:A4)+1,"")</f>
        <v/>
      </c>
      <c r="B76" s="149" t="s">
        <v>173</v>
      </c>
      <c r="C76" s="139"/>
      <c r="D76" s="126"/>
      <c r="E76" s="127"/>
      <c r="F76" s="128"/>
      <c r="G76" s="128"/>
      <c r="H76" s="130"/>
    </row>
    <row r="77" spans="1:8" ht="30">
      <c r="A77" s="52">
        <f>IF(AND(B77&lt;&gt;"",C77&lt;&gt;"",LEFT(B77,1)&lt;&gt;"#"),MAX($A$2:A75)+1,"")</f>
        <v>35</v>
      </c>
      <c r="B77" s="14" t="s">
        <v>174</v>
      </c>
      <c r="C77" s="112" t="s">
        <v>20</v>
      </c>
      <c r="D77" s="51"/>
      <c r="E77" s="56"/>
      <c r="F77" s="26" t="str">
        <f t="shared" ref="F77" ca="1" si="16">IF(E77&lt;&gt;"",NOW(),"")</f>
        <v/>
      </c>
      <c r="G77" s="69"/>
      <c r="H77" s="65"/>
    </row>
    <row r="78" spans="1:8">
      <c r="A78" s="58"/>
      <c r="B78" s="102" t="str">
        <f>$B$3</f>
        <v>( Add new test case )</v>
      </c>
      <c r="C78" s="105" t="str">
        <f>$C$3</f>
        <v>( Remove previous test result )</v>
      </c>
      <c r="D78" s="103"/>
      <c r="E78" s="239" t="str">
        <f>$E$3</f>
        <v>( Add new test result )</v>
      </c>
      <c r="F78" s="239"/>
      <c r="G78" s="239"/>
      <c r="H78" s="66"/>
    </row>
    <row r="79" spans="1:8" ht="60">
      <c r="A79" s="52">
        <f>IF(AND(B79&lt;&gt;"",C79&lt;&gt;"",LEFT(B79,1)&lt;&gt;"#"),MAX($A$2:A78)+1,"")</f>
        <v>36</v>
      </c>
      <c r="B79" s="15" t="s">
        <v>175</v>
      </c>
      <c r="C79" s="113" t="s">
        <v>30</v>
      </c>
      <c r="D79" s="51"/>
      <c r="E79" s="56"/>
      <c r="F79" s="26" t="str">
        <f t="shared" ref="F79" ca="1" si="17">IF(E79&lt;&gt;"",NOW(),"")</f>
        <v/>
      </c>
      <c r="G79" s="69"/>
      <c r="H79" s="67"/>
    </row>
    <row r="80" spans="1:8">
      <c r="A80" s="58"/>
      <c r="B80" s="102" t="str">
        <f>$B$3</f>
        <v>( Add new test case )</v>
      </c>
      <c r="C80" s="105" t="str">
        <f>$C$3</f>
        <v>( Remove previous test result )</v>
      </c>
      <c r="D80" s="103"/>
      <c r="E80" s="239" t="str">
        <f>$E$3</f>
        <v>( Add new test result )</v>
      </c>
      <c r="F80" s="239"/>
      <c r="G80" s="239"/>
      <c r="H80" s="66"/>
    </row>
    <row r="81" spans="1:8" ht="45">
      <c r="A81" s="52">
        <f>IF(AND(B81&lt;&gt;"",C81&lt;&gt;"",LEFT(B81,1)&lt;&gt;"#"),MAX($A$2:A80)+1,"")</f>
        <v>37</v>
      </c>
      <c r="B81" s="15" t="s">
        <v>176</v>
      </c>
      <c r="C81" s="113" t="s">
        <v>21</v>
      </c>
      <c r="D81" s="51"/>
      <c r="E81" s="56"/>
      <c r="F81" s="26" t="str">
        <f t="shared" ref="F81" ca="1" si="18">IF(E81&lt;&gt;"",NOW(),"")</f>
        <v/>
      </c>
      <c r="G81" s="69"/>
      <c r="H81" s="241" t="s">
        <v>230</v>
      </c>
    </row>
    <row r="82" spans="1:8">
      <c r="A82" s="121"/>
      <c r="B82" s="122" t="str">
        <f>$B$3</f>
        <v>( Add new test case )</v>
      </c>
      <c r="C82" s="140" t="str">
        <f>$C$3</f>
        <v>( Remove previous test result )</v>
      </c>
      <c r="D82" s="103"/>
      <c r="E82" s="239" t="str">
        <f>$E$3</f>
        <v>( Add new test result )</v>
      </c>
      <c r="F82" s="239"/>
      <c r="G82" s="239"/>
      <c r="H82" s="83"/>
    </row>
    <row r="83" spans="1:8" ht="15.75">
      <c r="A83" s="124" t="str">
        <f>IF(AND(B83&lt;&gt;"",C83&lt;&gt;"",LEFT(B83,1)&lt;&gt;"#"),MAX($A$2:A24)+1,"")</f>
        <v/>
      </c>
      <c r="B83" s="150" t="s">
        <v>469</v>
      </c>
      <c r="C83" s="139"/>
      <c r="D83" s="126"/>
      <c r="E83" s="127"/>
      <c r="F83" s="128"/>
      <c r="G83" s="128"/>
      <c r="H83" s="130"/>
    </row>
    <row r="84" spans="1:8" ht="30">
      <c r="A84" s="53" t="str">
        <f>IF(AND(B84&lt;&gt;"",C84&lt;&gt;"",LEFT(B84,1)&lt;&gt;"#"),MAX($A$2:A83)+1,"")</f>
        <v/>
      </c>
      <c r="B84" s="14" t="s">
        <v>504</v>
      </c>
      <c r="C84" s="116" t="s">
        <v>32</v>
      </c>
      <c r="D84" s="51"/>
      <c r="E84" s="56"/>
      <c r="F84" s="26" t="str">
        <f t="shared" ref="F84" ca="1" si="19">IF(E84&lt;&gt;"",NOW(),"")</f>
        <v/>
      </c>
      <c r="G84" s="69"/>
      <c r="H84" s="68"/>
    </row>
    <row r="85" spans="1:8">
      <c r="A85" s="121"/>
      <c r="B85" s="122" t="str">
        <f>$B$3</f>
        <v>( Add new test case )</v>
      </c>
      <c r="C85" s="140" t="str">
        <f>$C$3</f>
        <v>( Remove previous test result )</v>
      </c>
      <c r="D85" s="103"/>
      <c r="E85" s="239" t="str">
        <f>$E$3</f>
        <v>( Add new test result )</v>
      </c>
      <c r="F85" s="239"/>
      <c r="G85" s="239"/>
      <c r="H85" s="83"/>
    </row>
  </sheetData>
  <sheetProtection password="88A1"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2">
    <dataValidation type="list" allowBlank="1" showInputMessage="1" showErrorMessage="1" sqref="E84 E9 E11 E13 E15 E19 E21 E23 E17 E26 E5 E7 E30 E32 E34 E36 E28 E38 E42 E44 E46 E49 E40 E51 E55 E58 E60 E53 E62 E64 E66 E68 E70 E72 E77 E79 E81 E74">
      <formula1>ValidStatus</formula1>
    </dataValidation>
    <dataValidation type="list" allowBlank="1" showInputMessage="1" showErrorMessage="1" sqref="G84 G21 G23 G9 G11 G13 G15 G19 G17 G26 G5 G7 G32 G36 G34 G30 G28 G38 G44 G49 G46 G42 G40 G51 G58 G60 G55 G53 G62 G66 G70 G68 G64 G72 G79 G81 G77 G7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H66"/>
  <sheetViews>
    <sheetView showGridLines="0" workbookViewId="0">
      <pane ySplit="2" topLeftCell="A58" activePane="bottomLeft" state="frozen"/>
      <selection pane="bottomLeft" activeCell="E77" sqref="E77"/>
    </sheetView>
  </sheetViews>
  <sheetFormatPr defaultRowHeight="1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c r="A1" s="231" t="str">
        <f ca="1">MID(CELL("filename",A1),FIND("]",CELL("filename",A1))+1,255)</f>
        <v>TestingDetail-cim-miscadmin</v>
      </c>
      <c r="B1" s="225"/>
      <c r="C1" s="226" t="str">
        <f>ProjectSummary!$D$1</f>
        <v xml:space="preserve"> -  /</v>
      </c>
      <c r="D1" s="226"/>
      <c r="E1" s="226"/>
      <c r="F1" s="226"/>
      <c r="G1" s="201"/>
      <c r="H1" s="203"/>
    </row>
    <row r="2" spans="1:8" s="77" customFormat="1" ht="33" thickTop="1" thickBot="1">
      <c r="A2" s="238" t="s">
        <v>483</v>
      </c>
      <c r="B2" s="204" t="s">
        <v>124</v>
      </c>
      <c r="C2" s="205" t="s">
        <v>0</v>
      </c>
      <c r="D2" s="206" t="s">
        <v>62</v>
      </c>
      <c r="E2" s="206" t="s">
        <v>61</v>
      </c>
      <c r="F2" s="207" t="s">
        <v>58</v>
      </c>
      <c r="G2" s="208" t="s">
        <v>196</v>
      </c>
      <c r="H2" s="210" t="s">
        <v>60</v>
      </c>
    </row>
    <row r="3" spans="1:8" s="25" customFormat="1" ht="19.5" hidden="1" customHeight="1" thickTop="1">
      <c r="A3" s="71"/>
      <c r="B3" s="122" t="s">
        <v>201</v>
      </c>
      <c r="C3" s="140" t="s">
        <v>199</v>
      </c>
      <c r="D3" s="103"/>
      <c r="E3" s="239" t="s">
        <v>200</v>
      </c>
      <c r="F3" s="239"/>
      <c r="G3" s="239"/>
      <c r="H3" s="72"/>
    </row>
    <row r="4" spans="1:8" s="73" customFormat="1" ht="16.5" thickTop="1">
      <c r="A4" s="142" t="str">
        <f>IF(AND(B4&lt;&gt;"",C4&lt;&gt;"",LEFT(B4,1)&lt;&gt;"#"),MAX(#REF!)+1,"")</f>
        <v/>
      </c>
      <c r="B4" s="212" t="s">
        <v>466</v>
      </c>
      <c r="C4" s="143"/>
      <c r="D4" s="144"/>
      <c r="E4" s="145"/>
      <c r="F4" s="146"/>
      <c r="G4" s="146"/>
      <c r="H4" s="147"/>
    </row>
    <row r="5" spans="1:8" ht="30">
      <c r="A5" s="52">
        <f>IF(AND(B5&lt;&gt;"",C5&lt;&gt;"",LEFT(B5,1)&lt;&gt;"#"),MAX($A$2:A4)+1,"")</f>
        <v>1</v>
      </c>
      <c r="B5" s="14" t="s">
        <v>1</v>
      </c>
      <c r="C5" s="10" t="s">
        <v>2</v>
      </c>
      <c r="D5" s="51"/>
      <c r="E5" s="56"/>
      <c r="F5" s="26"/>
      <c r="G5" s="69"/>
      <c r="H5" s="65"/>
    </row>
    <row r="6" spans="1:8">
      <c r="A6" s="58"/>
      <c r="B6" s="102" t="str">
        <f>$B$3</f>
        <v>( Add new test case )</v>
      </c>
      <c r="C6" s="105" t="str">
        <f>$C$3</f>
        <v>( Remove previous test result )</v>
      </c>
      <c r="D6" s="103"/>
      <c r="E6" s="239" t="s">
        <v>200</v>
      </c>
      <c r="F6" s="239"/>
      <c r="G6" s="239"/>
      <c r="H6" s="66"/>
    </row>
    <row r="7" spans="1:8" ht="30">
      <c r="A7" s="52">
        <f>IF(AND(B7&lt;&gt;"",C7&lt;&gt;"",LEFT(B7,1)&lt;&gt;"#"),MAX($A$2:A6)+1,"")</f>
        <v>2</v>
      </c>
      <c r="B7" s="15" t="s">
        <v>33</v>
      </c>
      <c r="C7" s="4" t="s">
        <v>236</v>
      </c>
      <c r="D7" s="51"/>
      <c r="E7" s="56"/>
      <c r="F7" s="26"/>
      <c r="G7" s="69"/>
      <c r="H7" s="67"/>
    </row>
    <row r="8" spans="1:8">
      <c r="A8" s="58"/>
      <c r="B8" s="102" t="str">
        <f>$B$3</f>
        <v>( Add new test case )</v>
      </c>
      <c r="C8" s="105" t="str">
        <f>$C$3</f>
        <v>( Remove previous test result )</v>
      </c>
      <c r="D8" s="103"/>
      <c r="E8" s="239" t="s">
        <v>200</v>
      </c>
      <c r="F8" s="239"/>
      <c r="G8" s="239"/>
      <c r="H8" s="66"/>
    </row>
    <row r="9" spans="1:8" ht="30">
      <c r="A9" s="52">
        <f>IF(AND(B9&lt;&gt;"",C9&lt;&gt;"",LEFT(B9,1)&lt;&gt;"#"),MAX($A$2:A8)+1,"")</f>
        <v>3</v>
      </c>
      <c r="B9" s="15" t="s">
        <v>34</v>
      </c>
      <c r="C9" s="4" t="s">
        <v>237</v>
      </c>
      <c r="D9" s="51"/>
      <c r="E9" s="56"/>
      <c r="F9" s="26"/>
      <c r="G9" s="69"/>
      <c r="H9" s="67"/>
    </row>
    <row r="10" spans="1:8">
      <c r="A10" s="58"/>
      <c r="B10" s="102" t="str">
        <f>$B$3</f>
        <v>( Add new test case )</v>
      </c>
      <c r="C10" s="105" t="str">
        <f>$C$3</f>
        <v>( Remove previous test result )</v>
      </c>
      <c r="D10" s="103"/>
      <c r="E10" s="239" t="s">
        <v>200</v>
      </c>
      <c r="F10" s="239"/>
      <c r="G10" s="239"/>
      <c r="H10" s="66"/>
    </row>
    <row r="11" spans="1:8" ht="30">
      <c r="A11" s="52">
        <f>IF(AND(B11&lt;&gt;"",C11&lt;&gt;"",LEFT(B11,1)&lt;&gt;"#"),MAX($A$2:A10)+1,"")</f>
        <v>4</v>
      </c>
      <c r="B11" s="15" t="s">
        <v>35</v>
      </c>
      <c r="C11" s="4" t="s">
        <v>238</v>
      </c>
      <c r="D11" s="51"/>
      <c r="E11" s="56"/>
      <c r="F11" s="26"/>
      <c r="G11" s="69"/>
      <c r="H11" s="67"/>
    </row>
    <row r="12" spans="1:8">
      <c r="A12" s="58"/>
      <c r="B12" s="102" t="str">
        <f>$B$3</f>
        <v>( Add new test case )</v>
      </c>
      <c r="C12" s="105" t="str">
        <f>$C$3</f>
        <v>( Remove previous test result )</v>
      </c>
      <c r="D12" s="103"/>
      <c r="E12" s="239" t="s">
        <v>200</v>
      </c>
      <c r="F12" s="239"/>
      <c r="G12" s="239"/>
      <c r="H12" s="66"/>
    </row>
    <row r="13" spans="1:8" ht="30">
      <c r="A13" s="52">
        <f>IF(AND(B13&lt;&gt;"",C13&lt;&gt;"",LEFT(B13,1)&lt;&gt;"#"),MAX($A$2:A12)+1,"")</f>
        <v>5</v>
      </c>
      <c r="B13" s="15" t="s">
        <v>36</v>
      </c>
      <c r="C13" s="4" t="s">
        <v>239</v>
      </c>
      <c r="D13" s="51"/>
      <c r="E13" s="56"/>
      <c r="F13" s="26"/>
      <c r="G13" s="69"/>
      <c r="H13" s="67"/>
    </row>
    <row r="14" spans="1:8">
      <c r="A14" s="58"/>
      <c r="B14" s="102" t="str">
        <f>$B$3</f>
        <v>( Add new test case )</v>
      </c>
      <c r="C14" s="105" t="str">
        <f>$C$3</f>
        <v>( Remove previous test result )</v>
      </c>
      <c r="D14" s="103"/>
      <c r="E14" s="239" t="s">
        <v>200</v>
      </c>
      <c r="F14" s="239"/>
      <c r="G14" s="239"/>
      <c r="H14" s="66"/>
    </row>
    <row r="15" spans="1:8" ht="45">
      <c r="A15" s="52">
        <f>IF(AND(B15&lt;&gt;"",C15&lt;&gt;"",LEFT(B15,1)&lt;&gt;"#"),MAX($A$2:A14)+1,"")</f>
        <v>6</v>
      </c>
      <c r="B15" s="15" t="s">
        <v>37</v>
      </c>
      <c r="C15" s="4" t="s">
        <v>240</v>
      </c>
      <c r="D15" s="51"/>
      <c r="E15" s="56"/>
      <c r="F15" s="26" t="str">
        <f t="shared" ref="F15:F26" ca="1" si="0">IF(E15&lt;&gt;"",NOW(),"")</f>
        <v/>
      </c>
      <c r="G15" s="69"/>
      <c r="H15" s="67"/>
    </row>
    <row r="16" spans="1:8">
      <c r="A16" s="58"/>
      <c r="B16" s="102" t="str">
        <f>$B$3</f>
        <v>( Add new test case )</v>
      </c>
      <c r="C16" s="105" t="str">
        <f>$C$3</f>
        <v>( Remove previous test result )</v>
      </c>
      <c r="D16" s="103"/>
      <c r="E16" s="239" t="s">
        <v>200</v>
      </c>
      <c r="F16" s="239"/>
      <c r="G16" s="239"/>
      <c r="H16" s="66"/>
    </row>
    <row r="17" spans="1:8" ht="30">
      <c r="A17" s="52">
        <f>IF(AND(B17&lt;&gt;"",C17&lt;&gt;"",LEFT(B17,1)&lt;&gt;"#"),MAX($A$2:A16)+1,"")</f>
        <v>7</v>
      </c>
      <c r="B17" s="62" t="s">
        <v>130</v>
      </c>
      <c r="C17" s="6" t="s">
        <v>22</v>
      </c>
      <c r="D17" s="51"/>
      <c r="E17" s="56"/>
      <c r="F17" s="26"/>
      <c r="G17" s="69"/>
      <c r="H17" s="67"/>
    </row>
    <row r="18" spans="1:8">
      <c r="A18" s="58"/>
      <c r="B18" s="102" t="str">
        <f>$B$3</f>
        <v>( Add new test case )</v>
      </c>
      <c r="C18" s="105" t="str">
        <f>$C$3</f>
        <v>( Remove previous test result )</v>
      </c>
      <c r="D18" s="103"/>
      <c r="E18" s="239" t="s">
        <v>200</v>
      </c>
      <c r="F18" s="239"/>
      <c r="G18" s="239"/>
      <c r="H18" s="66"/>
    </row>
    <row r="19" spans="1:8" ht="45">
      <c r="A19" s="52">
        <f>IF(AND(B19&lt;&gt;"",C19&lt;&gt;"",LEFT(B19,1)&lt;&gt;"#"),MAX($A$2:A18)+1,"")</f>
        <v>8</v>
      </c>
      <c r="B19" s="16" t="s">
        <v>241</v>
      </c>
      <c r="C19" s="5" t="s">
        <v>177</v>
      </c>
      <c r="D19" s="51"/>
      <c r="E19" s="56"/>
      <c r="F19" s="26" t="str">
        <f t="shared" ca="1" si="0"/>
        <v/>
      </c>
      <c r="G19" s="69"/>
      <c r="H19" s="67"/>
    </row>
    <row r="20" spans="1:8">
      <c r="A20" s="58"/>
      <c r="B20" s="102" t="str">
        <f>$B$3</f>
        <v>( Add new test case )</v>
      </c>
      <c r="C20" s="105" t="str">
        <f>$C$3</f>
        <v>( Remove previous test result )</v>
      </c>
      <c r="D20" s="103"/>
      <c r="E20" s="239" t="s">
        <v>200</v>
      </c>
      <c r="F20" s="239"/>
      <c r="G20" s="239"/>
      <c r="H20" s="66"/>
    </row>
    <row r="21" spans="1:8" ht="45">
      <c r="A21" s="52">
        <f>IF(AND(B21&lt;&gt;"",C21&lt;&gt;"",LEFT(B21,1)&lt;&gt;"#"),MAX($A$2:A20)+1,"")</f>
        <v>9</v>
      </c>
      <c r="B21" s="16" t="s">
        <v>38</v>
      </c>
      <c r="C21" s="5" t="s">
        <v>27</v>
      </c>
      <c r="D21" s="51"/>
      <c r="E21" s="56"/>
      <c r="F21" s="26" t="str">
        <f t="shared" ca="1" si="0"/>
        <v/>
      </c>
      <c r="G21" s="69"/>
      <c r="H21" s="67"/>
    </row>
    <row r="22" spans="1:8">
      <c r="A22" s="121"/>
      <c r="B22" s="122" t="str">
        <f>$B$3</f>
        <v>( Add new test case )</v>
      </c>
      <c r="C22" s="140" t="str">
        <f>$C$3</f>
        <v>( Remove previous test result )</v>
      </c>
      <c r="D22" s="103"/>
      <c r="E22" s="239" t="s">
        <v>200</v>
      </c>
      <c r="F22" s="239"/>
      <c r="G22" s="239"/>
      <c r="H22" s="83"/>
    </row>
    <row r="23" spans="1:8" ht="15.75">
      <c r="A23" s="142" t="str">
        <f>IF(AND(B23&lt;&gt;"",C23&lt;&gt;"",LEFT(B23,1)&lt;&gt;"#"),MAX(#REF!)+1,"")</f>
        <v/>
      </c>
      <c r="B23" s="212" t="s">
        <v>242</v>
      </c>
      <c r="C23" s="143"/>
      <c r="D23" s="144"/>
      <c r="E23" s="145"/>
      <c r="F23" s="146"/>
      <c r="G23" s="146"/>
      <c r="H23" s="147"/>
    </row>
    <row r="24" spans="1:8" ht="30">
      <c r="A24" s="52">
        <f>IF(AND(B24&lt;&gt;"",C24&lt;&gt;"",LEFT(B24,1)&lt;&gt;"#"),MAX($A$2:A22)+1,"")</f>
        <v>10</v>
      </c>
      <c r="B24" s="18" t="s">
        <v>39</v>
      </c>
      <c r="C24" s="12" t="s">
        <v>26</v>
      </c>
      <c r="D24" s="51"/>
      <c r="E24" s="56"/>
      <c r="F24" s="26" t="str">
        <f t="shared" ca="1" si="0"/>
        <v/>
      </c>
      <c r="G24" s="69"/>
      <c r="H24" s="65"/>
    </row>
    <row r="25" spans="1:8">
      <c r="A25" s="58"/>
      <c r="B25" s="102" t="str">
        <f>$B$3</f>
        <v>( Add new test case )</v>
      </c>
      <c r="C25" s="105" t="str">
        <f>$C$3</f>
        <v>( Remove previous test result )</v>
      </c>
      <c r="D25" s="103"/>
      <c r="E25" s="239" t="s">
        <v>200</v>
      </c>
      <c r="F25" s="239"/>
      <c r="G25" s="239"/>
      <c r="H25" s="66"/>
    </row>
    <row r="26" spans="1:8" ht="60">
      <c r="A26" s="52">
        <f>IF(AND(B26&lt;&gt;"",C26&lt;&gt;"",LEFT(B26,1)&lt;&gt;"#"),MAX($A$2:A25)+1,"")</f>
        <v>11</v>
      </c>
      <c r="B26" s="19" t="s">
        <v>40</v>
      </c>
      <c r="C26" s="7" t="s">
        <v>178</v>
      </c>
      <c r="D26" s="51"/>
      <c r="E26" s="56"/>
      <c r="F26" s="26" t="str">
        <f t="shared" ca="1" si="0"/>
        <v/>
      </c>
      <c r="G26" s="69"/>
      <c r="H26" s="67"/>
    </row>
    <row r="27" spans="1:8">
      <c r="A27" s="58"/>
      <c r="B27" s="102" t="str">
        <f>$B$3</f>
        <v>( Add new test case )</v>
      </c>
      <c r="C27" s="105" t="str">
        <f>$C$3</f>
        <v>( Remove previous test result )</v>
      </c>
      <c r="D27" s="103"/>
      <c r="E27" s="239" t="s">
        <v>200</v>
      </c>
      <c r="F27" s="239"/>
      <c r="G27" s="239"/>
      <c r="H27" s="66"/>
    </row>
    <row r="28" spans="1:8" ht="30">
      <c r="A28" s="52">
        <f>IF(AND(B28&lt;&gt;"",C28&lt;&gt;"",LEFT(B28,1)&lt;&gt;"#"),MAX($A$2:A27)+1,"")</f>
        <v>12</v>
      </c>
      <c r="B28" s="19" t="s">
        <v>244</v>
      </c>
      <c r="C28" s="7" t="s">
        <v>179</v>
      </c>
      <c r="D28" s="51"/>
      <c r="E28" s="56"/>
      <c r="F28" s="26"/>
      <c r="G28" s="69"/>
      <c r="H28" s="67"/>
    </row>
    <row r="29" spans="1:8">
      <c r="A29" s="58"/>
      <c r="B29" s="102" t="str">
        <f>$B$3</f>
        <v>( Add new test case )</v>
      </c>
      <c r="C29" s="105" t="str">
        <f>$C$3</f>
        <v>( Remove previous test result )</v>
      </c>
      <c r="D29" s="103"/>
      <c r="E29" s="239" t="s">
        <v>200</v>
      </c>
      <c r="F29" s="239"/>
      <c r="G29" s="239"/>
      <c r="H29" s="66"/>
    </row>
    <row r="30" spans="1:8" ht="30">
      <c r="A30" s="52">
        <f>IF(AND(B30&lt;&gt;"",C30&lt;&gt;"",LEFT(B30,1)&lt;&gt;"#"),MAX($A$2:A29)+1,"")</f>
        <v>13</v>
      </c>
      <c r="B30" s="19" t="s">
        <v>41</v>
      </c>
      <c r="C30" s="7" t="s">
        <v>245</v>
      </c>
      <c r="D30" s="51"/>
      <c r="E30" s="56"/>
      <c r="F30" s="26"/>
      <c r="G30" s="69"/>
      <c r="H30" s="67"/>
    </row>
    <row r="31" spans="1:8">
      <c r="A31" s="58"/>
      <c r="B31" s="102" t="str">
        <f>$B$3</f>
        <v>( Add new test case )</v>
      </c>
      <c r="C31" s="105" t="str">
        <f>$C$3</f>
        <v>( Remove previous test result )</v>
      </c>
      <c r="D31" s="103"/>
      <c r="E31" s="239" t="s">
        <v>200</v>
      </c>
      <c r="F31" s="239"/>
      <c r="G31" s="239"/>
      <c r="H31" s="66"/>
    </row>
    <row r="32" spans="1:8" ht="45">
      <c r="A32" s="52">
        <f>IF(AND(B32&lt;&gt;"",C32&lt;&gt;"",LEFT(B32,1)&lt;&gt;"#"),MAX($A$2:A31)+1,"")</f>
        <v>14</v>
      </c>
      <c r="B32" s="19" t="s">
        <v>42</v>
      </c>
      <c r="C32" s="7" t="s">
        <v>23</v>
      </c>
      <c r="D32" s="51"/>
      <c r="E32" s="56"/>
      <c r="F32" s="26" t="str">
        <f t="shared" ref="F32" ca="1" si="1">IF(E32&lt;&gt;"",NOW(),"")</f>
        <v/>
      </c>
      <c r="G32" s="69"/>
      <c r="H32" s="67"/>
    </row>
    <row r="33" spans="1:8">
      <c r="A33" s="58"/>
      <c r="B33" s="102" t="str">
        <f>$B$3</f>
        <v>( Add new test case )</v>
      </c>
      <c r="C33" s="105" t="str">
        <f>$C$3</f>
        <v>( Remove previous test result )</v>
      </c>
      <c r="D33" s="103"/>
      <c r="E33" s="239" t="s">
        <v>200</v>
      </c>
      <c r="F33" s="239"/>
      <c r="G33" s="239"/>
      <c r="H33" s="66"/>
    </row>
    <row r="34" spans="1:8" ht="75">
      <c r="A34" s="52">
        <f>IF(AND(B34&lt;&gt;"",C34&lt;&gt;"",LEFT(B34,1)&lt;&gt;"#"),MAX($A$2:A33)+1,"")</f>
        <v>15</v>
      </c>
      <c r="B34" s="63" t="s">
        <v>180</v>
      </c>
      <c r="C34" s="7" t="s">
        <v>31</v>
      </c>
      <c r="D34" s="51"/>
      <c r="E34" s="56"/>
      <c r="F34" s="26" t="str">
        <f t="shared" ref="F34" ca="1" si="2">IF(E34&lt;&gt;"",NOW(),"")</f>
        <v/>
      </c>
      <c r="G34" s="69"/>
      <c r="H34" s="67"/>
    </row>
    <row r="35" spans="1:8">
      <c r="A35" s="58"/>
      <c r="B35" s="102" t="str">
        <f>$B$3</f>
        <v>( Add new test case )</v>
      </c>
      <c r="C35" s="105" t="str">
        <f>$C$3</f>
        <v>( Remove previous test result )</v>
      </c>
      <c r="D35" s="103"/>
      <c r="E35" s="239" t="s">
        <v>200</v>
      </c>
      <c r="F35" s="239"/>
      <c r="G35" s="239"/>
      <c r="H35" s="66"/>
    </row>
    <row r="36" spans="1:8" ht="45">
      <c r="A36" s="52">
        <f>IF(AND(B36&lt;&gt;"",C36&lt;&gt;"",LEFT(B36,1)&lt;&gt;"#"),MAX($A$2:A35)+1,"")</f>
        <v>16</v>
      </c>
      <c r="B36" s="19" t="s">
        <v>43</v>
      </c>
      <c r="C36" s="7" t="s">
        <v>11</v>
      </c>
      <c r="D36" s="51"/>
      <c r="E36" s="56"/>
      <c r="F36" s="26" t="str">
        <f t="shared" ref="F36" ca="1" si="3">IF(E36&lt;&gt;"",NOW(),"")</f>
        <v/>
      </c>
      <c r="G36" s="69"/>
      <c r="H36" s="67"/>
    </row>
    <row r="37" spans="1:8">
      <c r="A37" s="58"/>
      <c r="B37" s="102" t="str">
        <f>$B$3</f>
        <v>( Add new test case )</v>
      </c>
      <c r="C37" s="105" t="str">
        <f>$C$3</f>
        <v>( Remove previous test result )</v>
      </c>
      <c r="D37" s="103"/>
      <c r="E37" s="239" t="s">
        <v>200</v>
      </c>
      <c r="F37" s="239"/>
      <c r="G37" s="239"/>
      <c r="H37" s="66"/>
    </row>
    <row r="38" spans="1:8" ht="60">
      <c r="A38" s="52">
        <f>IF(AND(B38&lt;&gt;"",C38&lt;&gt;"",LEFT(B38,1)&lt;&gt;"#"),MAX($A$2:A37)+1,"")</f>
        <v>17</v>
      </c>
      <c r="B38" s="19" t="s">
        <v>181</v>
      </c>
      <c r="C38" s="7" t="s">
        <v>246</v>
      </c>
      <c r="D38" s="51"/>
      <c r="E38" s="56"/>
      <c r="F38" s="26" t="str">
        <f t="shared" ref="F38" ca="1" si="4">IF(E38&lt;&gt;"",NOW(),"")</f>
        <v/>
      </c>
      <c r="G38" s="69"/>
      <c r="H38" s="67"/>
    </row>
    <row r="39" spans="1:8">
      <c r="A39" s="58"/>
      <c r="B39" s="102" t="str">
        <f>$B$3</f>
        <v>( Add new test case )</v>
      </c>
      <c r="C39" s="105" t="str">
        <f>$C$3</f>
        <v>( Remove previous test result )</v>
      </c>
      <c r="D39" s="103"/>
      <c r="E39" s="239" t="s">
        <v>200</v>
      </c>
      <c r="F39" s="239"/>
      <c r="G39" s="239"/>
      <c r="H39" s="66"/>
    </row>
    <row r="40" spans="1:8" ht="105">
      <c r="A40" s="52">
        <f>IF(AND(B40&lt;&gt;"",C40&lt;&gt;"",LEFT(B40,1)&lt;&gt;"#"),MAX($A$2:A39)+1,"")</f>
        <v>18</v>
      </c>
      <c r="B40" s="19" t="s">
        <v>44</v>
      </c>
      <c r="C40" s="7" t="s">
        <v>24</v>
      </c>
      <c r="D40" s="51"/>
      <c r="E40" s="56"/>
      <c r="F40" s="26"/>
      <c r="G40" s="69"/>
      <c r="H40" s="67"/>
    </row>
    <row r="41" spans="1:8">
      <c r="A41" s="58"/>
      <c r="B41" s="102" t="str">
        <f>$B$3</f>
        <v>( Add new test case )</v>
      </c>
      <c r="C41" s="105" t="str">
        <f>$C$3</f>
        <v>( Remove previous test result )</v>
      </c>
      <c r="D41" s="103"/>
      <c r="E41" s="239" t="s">
        <v>200</v>
      </c>
      <c r="F41" s="239"/>
      <c r="G41" s="239"/>
      <c r="H41" s="66"/>
    </row>
    <row r="42" spans="1:8">
      <c r="A42" s="52">
        <f>IF(AND(B42&lt;&gt;"",C42&lt;&gt;"",LEFT(B42,1)&lt;&gt;"#"),MAX($A$2:A41)+1,"")</f>
        <v>19</v>
      </c>
      <c r="B42" s="84" t="s">
        <v>207</v>
      </c>
      <c r="C42" s="85" t="s">
        <v>208</v>
      </c>
      <c r="D42" s="51"/>
      <c r="E42" s="56"/>
      <c r="F42" s="26"/>
      <c r="G42" s="69"/>
      <c r="H42" s="67"/>
    </row>
    <row r="43" spans="1:8">
      <c r="A43" s="121"/>
      <c r="B43" s="122" t="str">
        <f>$B$3</f>
        <v>( Add new test case )</v>
      </c>
      <c r="C43" s="140" t="str">
        <f>$C$3</f>
        <v>( Remove previous test result )</v>
      </c>
      <c r="D43" s="103"/>
      <c r="E43" s="239" t="s">
        <v>200</v>
      </c>
      <c r="F43" s="239"/>
      <c r="G43" s="239"/>
      <c r="H43" s="83"/>
    </row>
    <row r="44" spans="1:8" ht="15.75">
      <c r="A44" s="142" t="str">
        <f>IF(AND(B44&lt;&gt;"",C44&lt;&gt;"",LEFT(B44,1)&lt;&gt;"#"),MAX(#REF!)+1,"")</f>
        <v/>
      </c>
      <c r="B44" s="212" t="s">
        <v>243</v>
      </c>
      <c r="C44" s="143"/>
      <c r="D44" s="144"/>
      <c r="E44" s="145"/>
      <c r="F44" s="146"/>
      <c r="G44" s="146"/>
      <c r="H44" s="147"/>
    </row>
    <row r="45" spans="1:8" ht="30">
      <c r="A45" s="52">
        <f>IF(AND(B45&lt;&gt;"",C45&lt;&gt;"",LEFT(B45,1)&lt;&gt;"#"),MAX($A$2:A43)+1,"")</f>
        <v>20</v>
      </c>
      <c r="B45" s="141" t="s">
        <v>182</v>
      </c>
      <c r="C45" s="10" t="s">
        <v>183</v>
      </c>
      <c r="D45" s="51"/>
      <c r="E45" s="56"/>
      <c r="F45" s="26" t="str">
        <f t="shared" ref="F45" ca="1" si="5">IF(E45&lt;&gt;"",NOW(),"")</f>
        <v/>
      </c>
      <c r="G45" s="69"/>
      <c r="H45" s="65"/>
    </row>
    <row r="46" spans="1:8">
      <c r="A46" s="58"/>
      <c r="B46" s="102" t="str">
        <f>$B$3</f>
        <v>( Add new test case )</v>
      </c>
      <c r="C46" s="105" t="str">
        <f>$C$3</f>
        <v>( Remove previous test result )</v>
      </c>
      <c r="D46" s="103"/>
      <c r="E46" s="239" t="s">
        <v>200</v>
      </c>
      <c r="F46" s="239"/>
      <c r="G46" s="239"/>
      <c r="H46" s="66"/>
    </row>
    <row r="47" spans="1:8" ht="30">
      <c r="A47" s="52">
        <f>IF(AND(B47&lt;&gt;"",C47&lt;&gt;"",LEFT(B47,1)&lt;&gt;"#"),MAX($A$2:A46)+1,"")</f>
        <v>21</v>
      </c>
      <c r="B47" s="15" t="s">
        <v>45</v>
      </c>
      <c r="C47" s="4" t="s">
        <v>12</v>
      </c>
      <c r="D47" s="51"/>
      <c r="E47" s="56"/>
      <c r="F47" s="26" t="str">
        <f t="shared" ref="F47" ca="1" si="6">IF(E47&lt;&gt;"",NOW(),"")</f>
        <v/>
      </c>
      <c r="G47" s="69"/>
      <c r="H47" s="67"/>
    </row>
    <row r="48" spans="1:8">
      <c r="A48" s="58"/>
      <c r="B48" s="102" t="str">
        <f>$B$3</f>
        <v>( Add new test case )</v>
      </c>
      <c r="C48" s="105" t="str">
        <f>$C$3</f>
        <v>( Remove previous test result )</v>
      </c>
      <c r="D48" s="103"/>
      <c r="E48" s="239" t="s">
        <v>200</v>
      </c>
      <c r="F48" s="239"/>
      <c r="G48" s="239"/>
      <c r="H48" s="66"/>
    </row>
    <row r="49" spans="1:8" ht="45">
      <c r="A49" s="52">
        <f>IF(AND(B49&lt;&gt;"",C49&lt;&gt;"",LEFT(B49,1)&lt;&gt;"#"),MAX($A$2:A48)+1,"")</f>
        <v>22</v>
      </c>
      <c r="B49" s="15" t="s">
        <v>184</v>
      </c>
      <c r="C49" s="4" t="s">
        <v>185</v>
      </c>
      <c r="D49" s="51"/>
      <c r="E49" s="56"/>
      <c r="F49" s="26"/>
      <c r="G49" s="69"/>
      <c r="H49" s="67"/>
    </row>
    <row r="50" spans="1:8">
      <c r="A50" s="121"/>
      <c r="B50" s="122" t="str">
        <f>$B$3</f>
        <v>( Add new test case )</v>
      </c>
      <c r="C50" s="140" t="str">
        <f>$C$3</f>
        <v>( Remove previous test result )</v>
      </c>
      <c r="D50" s="103"/>
      <c r="E50" s="239" t="s">
        <v>200</v>
      </c>
      <c r="F50" s="239"/>
      <c r="G50" s="239"/>
      <c r="H50" s="83"/>
    </row>
    <row r="51" spans="1:8" ht="15.75">
      <c r="A51" s="142" t="str">
        <f>IF(AND(B51&lt;&gt;"",C51&lt;&gt;"",LEFT(B51,1)&lt;&gt;"#"),MAX(#REF!)+1,"")</f>
        <v/>
      </c>
      <c r="B51" s="212" t="s">
        <v>68</v>
      </c>
      <c r="C51" s="143"/>
      <c r="D51" s="144"/>
      <c r="E51" s="145"/>
      <c r="F51" s="146"/>
      <c r="G51" s="146"/>
      <c r="H51" s="147"/>
    </row>
    <row r="52" spans="1:8" ht="75">
      <c r="A52" s="52">
        <f>IF(AND(B52&lt;&gt;"",C52&lt;&gt;"",LEFT(B52,1)&lt;&gt;"#"),MAX($A$2:A50)+1,"")</f>
        <v>23</v>
      </c>
      <c r="B52" s="20" t="s">
        <v>46</v>
      </c>
      <c r="C52" s="11" t="s">
        <v>13</v>
      </c>
      <c r="D52" s="51"/>
      <c r="E52" s="56"/>
      <c r="F52" s="26" t="str">
        <f t="shared" ref="F52" ca="1" si="7">IF(E52&lt;&gt;"",NOW(),"")</f>
        <v/>
      </c>
      <c r="G52" s="69"/>
      <c r="H52" s="65"/>
    </row>
    <row r="53" spans="1:8">
      <c r="A53" s="58"/>
      <c r="B53" s="102" t="str">
        <f>$B$3</f>
        <v>( Add new test case )</v>
      </c>
      <c r="C53" s="105" t="str">
        <f>$C$3</f>
        <v>( Remove previous test result )</v>
      </c>
      <c r="D53" s="103"/>
      <c r="E53" s="239" t="s">
        <v>200</v>
      </c>
      <c r="F53" s="239"/>
      <c r="G53" s="239"/>
      <c r="H53" s="66"/>
    </row>
    <row r="54" spans="1:8" ht="45">
      <c r="A54" s="52">
        <f>IF(AND(B54&lt;&gt;"",C54&lt;&gt;"",LEFT(B54,1)&lt;&gt;"#"),MAX($A$2:A53)+1,"")</f>
        <v>24</v>
      </c>
      <c r="B54" s="21" t="s">
        <v>47</v>
      </c>
      <c r="C54" s="8" t="s">
        <v>14</v>
      </c>
      <c r="D54" s="51"/>
      <c r="E54" s="56"/>
      <c r="F54" s="26"/>
      <c r="G54" s="69"/>
      <c r="H54" s="81" t="s">
        <v>247</v>
      </c>
    </row>
    <row r="55" spans="1:8">
      <c r="A55" s="58"/>
      <c r="B55" s="102" t="str">
        <f>$B$3</f>
        <v>( Add new test case )</v>
      </c>
      <c r="C55" s="105" t="str">
        <f>$C$3</f>
        <v>( Remove previous test result )</v>
      </c>
      <c r="D55" s="103"/>
      <c r="E55" s="239" t="s">
        <v>200</v>
      </c>
      <c r="F55" s="239"/>
      <c r="G55" s="239"/>
      <c r="H55" s="66"/>
    </row>
    <row r="56" spans="1:8" ht="30">
      <c r="A56" s="52">
        <f>IF(AND(B56&lt;&gt;"",C56&lt;&gt;"",LEFT(B56,1)&lt;&gt;"#"),MAX($A$2:A55)+1,"")</f>
        <v>25</v>
      </c>
      <c r="B56" s="21" t="s">
        <v>48</v>
      </c>
      <c r="C56" s="8" t="s">
        <v>15</v>
      </c>
      <c r="D56" s="51"/>
      <c r="E56" s="56"/>
      <c r="F56" s="26" t="str">
        <f t="shared" ref="F56" ca="1" si="8">IF(E56&lt;&gt;"",NOW(),"")</f>
        <v/>
      </c>
      <c r="G56" s="69"/>
      <c r="H56" s="81" t="s">
        <v>247</v>
      </c>
    </row>
    <row r="57" spans="1:8">
      <c r="A57" s="58"/>
      <c r="B57" s="102" t="str">
        <f>$B$3</f>
        <v>( Add new test case )</v>
      </c>
      <c r="C57" s="105" t="str">
        <f>$C$3</f>
        <v>( Remove previous test result )</v>
      </c>
      <c r="D57" s="103"/>
      <c r="E57" s="239" t="s">
        <v>200</v>
      </c>
      <c r="F57" s="239"/>
      <c r="G57" s="239"/>
      <c r="H57" s="66"/>
    </row>
    <row r="58" spans="1:8" ht="45">
      <c r="A58" s="52">
        <f>IF(AND(B58&lt;&gt;"",C58&lt;&gt;"",LEFT(B58,1)&lt;&gt;"#"),MAX($A$2:A57)+1,"")</f>
        <v>26</v>
      </c>
      <c r="B58" s="21" t="s">
        <v>49</v>
      </c>
      <c r="C58" s="8" t="s">
        <v>16</v>
      </c>
      <c r="D58" s="51"/>
      <c r="E58" s="56"/>
      <c r="F58" s="26" t="str">
        <f t="shared" ref="F58" ca="1" si="9">IF(E58&lt;&gt;"",NOW(),"")</f>
        <v/>
      </c>
      <c r="G58" s="69"/>
      <c r="H58" s="81" t="s">
        <v>248</v>
      </c>
    </row>
    <row r="59" spans="1:8">
      <c r="A59" s="58"/>
      <c r="B59" s="102" t="str">
        <f>$B$3</f>
        <v>( Add new test case )</v>
      </c>
      <c r="C59" s="105" t="str">
        <f>$C$3</f>
        <v>( Remove previous test result )</v>
      </c>
      <c r="D59" s="103"/>
      <c r="E59" s="239" t="s">
        <v>200</v>
      </c>
      <c r="F59" s="239"/>
      <c r="G59" s="239"/>
      <c r="H59" s="66"/>
    </row>
    <row r="60" spans="1:8" ht="45">
      <c r="A60" s="52">
        <f>IF(AND(B60&lt;&gt;"",C60&lt;&gt;"",LEFT(B60,1)&lt;&gt;"#"),MAX($A$2:A59)+1,"")</f>
        <v>27</v>
      </c>
      <c r="B60" s="21" t="s">
        <v>50</v>
      </c>
      <c r="C60" s="8" t="s">
        <v>17</v>
      </c>
      <c r="D60" s="51"/>
      <c r="E60" s="56"/>
      <c r="F60" s="26" t="str">
        <f t="shared" ref="F60" ca="1" si="10">IF(E60&lt;&gt;"",NOW(),"")</f>
        <v/>
      </c>
      <c r="G60" s="69"/>
      <c r="H60" s="81" t="s">
        <v>248</v>
      </c>
    </row>
    <row r="61" spans="1:8">
      <c r="A61" s="58"/>
      <c r="B61" s="102" t="str">
        <f>$B$3</f>
        <v>( Add new test case )</v>
      </c>
      <c r="C61" s="105" t="str">
        <f>$C$3</f>
        <v>( Remove previous test result )</v>
      </c>
      <c r="D61" s="103"/>
      <c r="E61" s="239" t="s">
        <v>200</v>
      </c>
      <c r="F61" s="239"/>
      <c r="G61" s="239"/>
      <c r="H61" s="66"/>
    </row>
    <row r="62" spans="1:8" ht="45">
      <c r="A62" s="52">
        <f>IF(AND(B62&lt;&gt;"",C62&lt;&gt;"",LEFT(B62,1)&lt;&gt;"#"),MAX($A$2:A61)+1,"")</f>
        <v>28</v>
      </c>
      <c r="B62" s="21" t="s">
        <v>51</v>
      </c>
      <c r="C62" s="8" t="s">
        <v>18</v>
      </c>
      <c r="D62" s="51"/>
      <c r="E62" s="56"/>
      <c r="F62" s="26" t="str">
        <f t="shared" ref="F62" ca="1" si="11">IF(E62&lt;&gt;"",NOW(),"")</f>
        <v/>
      </c>
      <c r="G62" s="69"/>
      <c r="H62" s="81" t="s">
        <v>248</v>
      </c>
    </row>
    <row r="63" spans="1:8">
      <c r="A63" s="121"/>
      <c r="B63" s="122" t="str">
        <f>$B$3</f>
        <v>( Add new test case )</v>
      </c>
      <c r="C63" s="140" t="str">
        <f>$C$3</f>
        <v>( Remove previous test result )</v>
      </c>
      <c r="D63" s="103"/>
      <c r="E63" s="239" t="s">
        <v>200</v>
      </c>
      <c r="F63" s="239"/>
      <c r="G63" s="239"/>
      <c r="H63" s="83"/>
    </row>
    <row r="64" spans="1:8" ht="15.75">
      <c r="A64" s="142" t="str">
        <f>IF(AND(B64&lt;&gt;"",C64&lt;&gt;"",LEFT(B64,1)&lt;&gt;"#"),MAX($A$2:A27)+1,"")</f>
        <v/>
      </c>
      <c r="B64" s="213" t="s">
        <v>469</v>
      </c>
      <c r="C64" s="143"/>
      <c r="D64" s="144"/>
      <c r="E64" s="145"/>
      <c r="F64" s="146"/>
      <c r="G64" s="146"/>
      <c r="H64" s="147"/>
    </row>
    <row r="65" spans="1:8" ht="30">
      <c r="A65" s="53" t="str">
        <f>IF(AND(B65&lt;&gt;"",C65&lt;&gt;"",LEFT(B65,1)&lt;&gt;"#"),MAX($A$2:A64)+1,"")</f>
        <v/>
      </c>
      <c r="B65" s="14" t="s">
        <v>65</v>
      </c>
      <c r="C65" s="14" t="s">
        <v>32</v>
      </c>
      <c r="D65" s="51"/>
      <c r="E65" s="56"/>
      <c r="F65" s="26" t="str">
        <f t="shared" ref="F65" ca="1" si="12">IF(E65&lt;&gt;"",NOW(),"")</f>
        <v/>
      </c>
      <c r="G65" s="69"/>
      <c r="H65" s="68"/>
    </row>
    <row r="66" spans="1:8">
      <c r="A66" s="121"/>
      <c r="B66" s="122" t="str">
        <f>$B$3</f>
        <v>( Add new test case )</v>
      </c>
      <c r="C66" s="140" t="str">
        <f>$C$3</f>
        <v>( Remove previous test result )</v>
      </c>
      <c r="D66" s="103"/>
      <c r="E66" s="239" t="s">
        <v>200</v>
      </c>
      <c r="F66" s="239"/>
      <c r="G66" s="239"/>
      <c r="H66" s="83"/>
    </row>
  </sheetData>
  <sheetProtection password="88A1" sheet="1" objects="1" scenarios="1" selectLockedCells="1" sort="0" autoFilter="0"/>
  <protectedRanges>
    <protectedRange password="DDDF" sqref="B2:XFD2 A1:XFD1 A3:XFD1048576"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2">
    <dataValidation type="list" allowBlank="1" showInputMessage="1" showErrorMessage="1" sqref="E65 E9 E11 E13 E15 E19 E21 E24 E26 E17 E28 E5 E7 E32 E34 E36 E38 E30 E40 E42 E45 E47 E49 E52 E56 E58 E60 E62 E54">
      <formula1>ValidStatus</formula1>
    </dataValidation>
    <dataValidation type="list" allowBlank="1" showInputMessage="1" showErrorMessage="1" sqref="G65 G21 G26 G24 G9 G11 G13 G15 G19 G17 G28 G5 G7 G34 G38 G36 G32 G30 G40 G42 G47 G45 G49 G52 G58 G62 G60 G56 G5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145"/>
  <sheetViews>
    <sheetView showGridLines="0" workbookViewId="0">
      <pane ySplit="2" topLeftCell="A3" activePane="bottomLeft" state="frozen"/>
      <selection pane="bottomLeft" activeCell="B15" sqref="B15"/>
    </sheetView>
  </sheetViews>
  <sheetFormatPr defaultRowHeight="1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c r="A1" s="233" t="str">
        <f ca="1">MID(CELL("filename",A1),FIND("]",CELL("filename",A1))+1,255)</f>
        <v>TestingDetail-cat-base</v>
      </c>
      <c r="B1" s="227"/>
      <c r="C1" s="228" t="str">
        <f>ProjectSummary!$D$1</f>
        <v xml:space="preserve"> -  /</v>
      </c>
      <c r="D1" s="228"/>
      <c r="E1" s="228"/>
      <c r="F1" s="228"/>
      <c r="G1" s="214"/>
      <c r="H1" s="215"/>
    </row>
    <row r="2" spans="1:8" s="77" customFormat="1" ht="33" thickTop="1" thickBot="1">
      <c r="A2" s="238" t="s">
        <v>483</v>
      </c>
      <c r="B2" s="216" t="s">
        <v>124</v>
      </c>
      <c r="C2" s="217" t="s">
        <v>0</v>
      </c>
      <c r="D2" s="218" t="s">
        <v>62</v>
      </c>
      <c r="E2" s="218" t="s">
        <v>61</v>
      </c>
      <c r="F2" s="219" t="s">
        <v>58</v>
      </c>
      <c r="G2" s="220" t="s">
        <v>196</v>
      </c>
      <c r="H2" s="221" t="s">
        <v>60</v>
      </c>
    </row>
    <row r="3" spans="1:8" s="25" customFormat="1" ht="19.5" hidden="1" customHeight="1" thickTop="1">
      <c r="A3" s="71"/>
      <c r="B3" s="135" t="s">
        <v>201</v>
      </c>
      <c r="C3" s="148" t="s">
        <v>199</v>
      </c>
      <c r="D3" s="103"/>
      <c r="E3" s="239" t="s">
        <v>200</v>
      </c>
      <c r="F3" s="239"/>
      <c r="G3" s="239"/>
      <c r="H3" s="72"/>
    </row>
    <row r="4" spans="1:8" s="73" customFormat="1" ht="16.5" thickTop="1">
      <c r="A4" s="154" t="str">
        <f>IF(AND(B4&lt;&gt;"",C4&lt;&gt;"",LEFT(B4,1)&lt;&gt;"#"),MAX(#REF!)+1,"")</f>
        <v/>
      </c>
      <c r="B4" s="155" t="s">
        <v>466</v>
      </c>
      <c r="C4" s="156"/>
      <c r="D4" s="157"/>
      <c r="E4" s="158"/>
      <c r="F4" s="159"/>
      <c r="G4" s="159"/>
      <c r="H4" s="160"/>
    </row>
    <row r="5" spans="1:8" ht="30">
      <c r="A5" s="52">
        <f>IF(AND(B5&lt;&gt;"",C5&lt;&gt;"",LEFT(B5,1)&lt;&gt;"#"),MAX($A$2:A4)+1,"")</f>
        <v>1</v>
      </c>
      <c r="B5" s="14" t="s">
        <v>1</v>
      </c>
      <c r="C5" s="86" t="s">
        <v>2</v>
      </c>
      <c r="D5" s="51"/>
      <c r="E5" s="56"/>
      <c r="F5" s="26"/>
      <c r="G5" s="69"/>
      <c r="H5" s="67"/>
    </row>
    <row r="6" spans="1:8">
      <c r="A6" s="58"/>
      <c r="B6" s="135" t="str">
        <f>$B$3</f>
        <v>( Add new test case )</v>
      </c>
      <c r="C6" s="148" t="str">
        <f>$C$3</f>
        <v>( Remove previous test result )</v>
      </c>
      <c r="D6" s="103"/>
      <c r="E6" s="239" t="s">
        <v>200</v>
      </c>
      <c r="F6" s="239"/>
      <c r="G6" s="239"/>
      <c r="H6" s="66"/>
    </row>
    <row r="7" spans="1:8" ht="30">
      <c r="A7" s="52">
        <f>IF(AND(B7&lt;&gt;"",C7&lt;&gt;"",LEFT(B7,1)&lt;&gt;"#"),MAX($A$2:A6)+1,"")</f>
        <v>2</v>
      </c>
      <c r="B7" s="14" t="s">
        <v>249</v>
      </c>
      <c r="C7" s="86" t="s">
        <v>250</v>
      </c>
      <c r="D7" s="152"/>
      <c r="E7" s="55"/>
      <c r="F7" s="23"/>
      <c r="G7" s="70"/>
      <c r="H7" s="67"/>
    </row>
    <row r="8" spans="1:8">
      <c r="A8" s="58"/>
      <c r="B8" s="135" t="str">
        <f>$B$3</f>
        <v>( Add new test case )</v>
      </c>
      <c r="C8" s="148" t="str">
        <f>$C$3</f>
        <v>( Remove previous test result )</v>
      </c>
      <c r="D8" s="103"/>
      <c r="E8" s="239" t="s">
        <v>200</v>
      </c>
      <c r="F8" s="239"/>
      <c r="G8" s="239"/>
      <c r="H8" s="66"/>
    </row>
    <row r="9" spans="1:8" ht="45">
      <c r="A9" s="52">
        <f>IF(AND(B9&lt;&gt;"",C9&lt;&gt;"",LEFT(B9,1)&lt;&gt;"#"),MAX($A$2:A8)+1,"")</f>
        <v>3</v>
      </c>
      <c r="B9" s="15" t="s">
        <v>251</v>
      </c>
      <c r="C9" s="87" t="s">
        <v>252</v>
      </c>
      <c r="D9" s="152"/>
      <c r="E9" s="55"/>
      <c r="F9" s="23"/>
      <c r="G9" s="70"/>
      <c r="H9" s="67"/>
    </row>
    <row r="10" spans="1:8">
      <c r="A10" s="58"/>
      <c r="B10" s="135" t="str">
        <f>$B$3</f>
        <v>( Add new test case )</v>
      </c>
      <c r="C10" s="148" t="str">
        <f>$C$3</f>
        <v>( Remove previous test result )</v>
      </c>
      <c r="D10" s="103"/>
      <c r="E10" s="239" t="s">
        <v>200</v>
      </c>
      <c r="F10" s="239"/>
      <c r="G10" s="239"/>
      <c r="H10" s="66"/>
    </row>
    <row r="11" spans="1:8" ht="60">
      <c r="A11" s="52">
        <f>IF(AND(B11&lt;&gt;"",C11&lt;&gt;"",LEFT(B11,1)&lt;&gt;"#"),MAX($A$2:A10)+1,"")</f>
        <v>4</v>
      </c>
      <c r="B11" s="15" t="s">
        <v>253</v>
      </c>
      <c r="C11" s="87" t="s">
        <v>254</v>
      </c>
      <c r="D11" s="152"/>
      <c r="E11" s="55"/>
      <c r="F11" s="23"/>
      <c r="G11" s="70"/>
      <c r="H11" s="67"/>
    </row>
    <row r="12" spans="1:8">
      <c r="A12" s="58"/>
      <c r="B12" s="135" t="str">
        <f>$B$3</f>
        <v>( Add new test case )</v>
      </c>
      <c r="C12" s="148" t="str">
        <f>$C$3</f>
        <v>( Remove previous test result )</v>
      </c>
      <c r="D12" s="103"/>
      <c r="E12" s="239" t="s">
        <v>200</v>
      </c>
      <c r="F12" s="239"/>
      <c r="G12" s="239"/>
      <c r="H12" s="66"/>
    </row>
    <row r="13" spans="1:8" ht="30">
      <c r="A13" s="52">
        <f>IF(AND(B13&lt;&gt;"",C13&lt;&gt;"",LEFT(B13,1)&lt;&gt;"#"),MAX($A$2:A12)+1,"")</f>
        <v>5</v>
      </c>
      <c r="B13" s="15" t="s">
        <v>255</v>
      </c>
      <c r="C13" s="87" t="s">
        <v>256</v>
      </c>
      <c r="D13" s="152"/>
      <c r="E13" s="55"/>
      <c r="F13" s="23"/>
      <c r="G13" s="70"/>
      <c r="H13" s="67"/>
    </row>
    <row r="14" spans="1:8">
      <c r="A14" s="58"/>
      <c r="B14" s="135" t="str">
        <f>$B$3</f>
        <v>( Add new test case )</v>
      </c>
      <c r="C14" s="148" t="str">
        <f>$C$3</f>
        <v>( Remove previous test result )</v>
      </c>
      <c r="D14" s="103"/>
      <c r="E14" s="239" t="s">
        <v>200</v>
      </c>
      <c r="F14" s="239"/>
      <c r="G14" s="239"/>
      <c r="H14" s="66"/>
    </row>
    <row r="15" spans="1:8" ht="45">
      <c r="A15" s="52">
        <f>IF(AND(B15&lt;&gt;"",C15&lt;&gt;"",LEFT(B15,1)&lt;&gt;"#"),MAX($A$2:A14)+1,"")</f>
        <v>6</v>
      </c>
      <c r="B15" s="15" t="s">
        <v>257</v>
      </c>
      <c r="C15" s="87" t="s">
        <v>8</v>
      </c>
      <c r="D15" s="152"/>
      <c r="E15" s="55"/>
      <c r="F15" s="23" t="str">
        <f t="shared" ref="F15:F26" ca="1" si="0">IF(E15&lt;&gt;"",NOW(),"")</f>
        <v/>
      </c>
      <c r="G15" s="70"/>
      <c r="H15" s="67"/>
    </row>
    <row r="16" spans="1:8">
      <c r="A16" s="58"/>
      <c r="B16" s="135" t="str">
        <f>$B$3</f>
        <v>( Add new test case )</v>
      </c>
      <c r="C16" s="148" t="str">
        <f>$C$3</f>
        <v>( Remove previous test result )</v>
      </c>
      <c r="D16" s="103"/>
      <c r="E16" s="239" t="s">
        <v>200</v>
      </c>
      <c r="F16" s="239"/>
      <c r="G16" s="239"/>
      <c r="H16" s="66"/>
    </row>
    <row r="17" spans="1:8" ht="30">
      <c r="A17" s="52">
        <f>IF(AND(B17&lt;&gt;"",C17&lt;&gt;"",LEFT(B17,1)&lt;&gt;"#"),MAX($A$2:A16)+1,"")</f>
        <v>7</v>
      </c>
      <c r="B17" s="15" t="s">
        <v>130</v>
      </c>
      <c r="C17" s="87" t="s">
        <v>258</v>
      </c>
      <c r="D17" s="152"/>
      <c r="E17" s="55"/>
      <c r="F17" s="23"/>
      <c r="G17" s="70"/>
      <c r="H17" s="81" t="s">
        <v>259</v>
      </c>
    </row>
    <row r="18" spans="1:8">
      <c r="A18" s="121"/>
      <c r="B18" s="135" t="str">
        <f>$B$3</f>
        <v>( Add new test case )</v>
      </c>
      <c r="C18" s="148" t="str">
        <f>$C$3</f>
        <v>( Remove previous test result )</v>
      </c>
      <c r="D18" s="103"/>
      <c r="E18" s="239" t="s">
        <v>200</v>
      </c>
      <c r="F18" s="239"/>
      <c r="G18" s="239"/>
      <c r="H18" s="83"/>
    </row>
    <row r="19" spans="1:8" ht="15.75">
      <c r="A19" s="124" t="str">
        <f>IF(AND(B19&lt;&gt;"",C19&lt;&gt;"",LEFT(B19,1)&lt;&gt;"#"),MAX(#REF!)+1,"")</f>
        <v/>
      </c>
      <c r="B19" s="149" t="s">
        <v>260</v>
      </c>
      <c r="C19" s="125"/>
      <c r="D19" s="126"/>
      <c r="E19" s="127"/>
      <c r="F19" s="128"/>
      <c r="G19" s="128"/>
      <c r="H19" s="130"/>
    </row>
    <row r="20" spans="1:8" ht="30">
      <c r="A20" s="52">
        <f>IF(AND(B20&lt;&gt;"",C20&lt;&gt;"",LEFT(B20,1)&lt;&gt;"#"),MAX($A$2:A18)+1,"")</f>
        <v>8</v>
      </c>
      <c r="B20" s="14" t="s">
        <v>262</v>
      </c>
      <c r="C20" s="86" t="s">
        <v>263</v>
      </c>
      <c r="D20" s="51"/>
      <c r="E20" s="56"/>
      <c r="F20" s="26" t="str">
        <f t="shared" ca="1" si="0"/>
        <v/>
      </c>
      <c r="G20" s="69"/>
      <c r="H20" s="65"/>
    </row>
    <row r="21" spans="1:8">
      <c r="A21" s="58"/>
      <c r="B21" s="135" t="str">
        <f>$B$3</f>
        <v>( Add new test case )</v>
      </c>
      <c r="C21" s="148" t="str">
        <f>$C$3</f>
        <v>( Remove previous test result )</v>
      </c>
      <c r="D21" s="103"/>
      <c r="E21" s="239" t="s">
        <v>200</v>
      </c>
      <c r="F21" s="239"/>
      <c r="G21" s="239"/>
      <c r="H21" s="66"/>
    </row>
    <row r="22" spans="1:8" ht="45">
      <c r="A22" s="52">
        <f>IF(AND(B22&lt;&gt;"",C22&lt;&gt;"",LEFT(B22,1)&lt;&gt;"#"),MAX($A$2:A21)+1,"")</f>
        <v>9</v>
      </c>
      <c r="B22" s="16" t="s">
        <v>264</v>
      </c>
      <c r="C22" s="16" t="s">
        <v>265</v>
      </c>
      <c r="D22" s="152"/>
      <c r="E22" s="55"/>
      <c r="F22" s="23" t="str">
        <f t="shared" ca="1" si="0"/>
        <v/>
      </c>
      <c r="G22" s="70"/>
      <c r="H22" s="67"/>
    </row>
    <row r="23" spans="1:8">
      <c r="A23" s="58"/>
      <c r="B23" s="135" t="str">
        <f>$B$3</f>
        <v>( Add new test case )</v>
      </c>
      <c r="C23" s="148" t="str">
        <f>$C$3</f>
        <v>( Remove previous test result )</v>
      </c>
      <c r="D23" s="103"/>
      <c r="E23" s="239" t="s">
        <v>200</v>
      </c>
      <c r="F23" s="239"/>
      <c r="G23" s="239"/>
      <c r="H23" s="66"/>
    </row>
    <row r="24" spans="1:8" ht="30">
      <c r="A24" s="52">
        <f>IF(AND(B24&lt;&gt;"",C24&lt;&gt;"",LEFT(B24,1)&lt;&gt;"#"),MAX($A$2:A23)+1,"")</f>
        <v>10</v>
      </c>
      <c r="B24" s="17" t="s">
        <v>266</v>
      </c>
      <c r="C24" s="17" t="s">
        <v>267</v>
      </c>
      <c r="D24" s="152"/>
      <c r="E24" s="55"/>
      <c r="F24" s="23" t="str">
        <f t="shared" ca="1" si="0"/>
        <v/>
      </c>
      <c r="G24" s="70"/>
      <c r="H24" s="67"/>
    </row>
    <row r="25" spans="1:8">
      <c r="A25" s="58"/>
      <c r="B25" s="135" t="str">
        <f>$B$3</f>
        <v>( Add new test case )</v>
      </c>
      <c r="C25" s="148" t="str">
        <f>$C$3</f>
        <v>( Remove previous test result )</v>
      </c>
      <c r="D25" s="103"/>
      <c r="E25" s="239" t="s">
        <v>200</v>
      </c>
      <c r="F25" s="239"/>
      <c r="G25" s="239"/>
      <c r="H25" s="66"/>
    </row>
    <row r="26" spans="1:8">
      <c r="A26" s="52">
        <f>IF(AND(B26&lt;&gt;"",C26&lt;&gt;"",LEFT(B26,1)&lt;&gt;"#"),MAX($A$2:A25)+1,"")</f>
        <v>11</v>
      </c>
      <c r="B26" s="16" t="s">
        <v>268</v>
      </c>
      <c r="C26" s="16" t="s">
        <v>269</v>
      </c>
      <c r="D26" s="152"/>
      <c r="E26" s="55"/>
      <c r="F26" s="23" t="str">
        <f t="shared" ca="1" si="0"/>
        <v/>
      </c>
      <c r="G26" s="70"/>
      <c r="H26" s="67"/>
    </row>
    <row r="27" spans="1:8">
      <c r="A27" s="58"/>
      <c r="B27" s="135" t="str">
        <f>$B$3</f>
        <v>( Add new test case )</v>
      </c>
      <c r="C27" s="148" t="str">
        <f>$C$3</f>
        <v>( Remove previous test result )</v>
      </c>
      <c r="D27" s="103"/>
      <c r="E27" s="239" t="s">
        <v>200</v>
      </c>
      <c r="F27" s="239"/>
      <c r="G27" s="239"/>
      <c r="H27" s="66"/>
    </row>
    <row r="28" spans="1:8">
      <c r="A28" s="52">
        <f>IF(AND(B28&lt;&gt;"",C28&lt;&gt;"",LEFT(B28,1)&lt;&gt;"#"),MAX($A$2:A27)+1,"")</f>
        <v>12</v>
      </c>
      <c r="B28" s="16" t="s">
        <v>270</v>
      </c>
      <c r="C28" s="16" t="s">
        <v>269</v>
      </c>
      <c r="D28" s="152"/>
      <c r="E28" s="55"/>
      <c r="F28" s="23"/>
      <c r="G28" s="70"/>
      <c r="H28" s="67"/>
    </row>
    <row r="29" spans="1:8">
      <c r="A29" s="58"/>
      <c r="B29" s="135" t="str">
        <f>$B$3</f>
        <v>( Add new test case )</v>
      </c>
      <c r="C29" s="148" t="str">
        <f>$C$3</f>
        <v>( Remove previous test result )</v>
      </c>
      <c r="D29" s="103"/>
      <c r="E29" s="239" t="s">
        <v>200</v>
      </c>
      <c r="F29" s="239"/>
      <c r="G29" s="239"/>
      <c r="H29" s="66"/>
    </row>
    <row r="30" spans="1:8" ht="30">
      <c r="A30" s="52">
        <f>IF(AND(B30&lt;&gt;"",C30&lt;&gt;"",LEFT(B30,1)&lt;&gt;"#"),MAX($A$2:A29)+1,"")</f>
        <v>13</v>
      </c>
      <c r="B30" s="93" t="s">
        <v>271</v>
      </c>
      <c r="C30" s="93" t="s">
        <v>272</v>
      </c>
      <c r="D30" s="152"/>
      <c r="E30" s="55"/>
      <c r="F30" s="23"/>
      <c r="G30" s="70"/>
      <c r="H30" s="67"/>
    </row>
    <row r="31" spans="1:8">
      <c r="A31" s="58"/>
      <c r="B31" s="135" t="str">
        <f>$B$3</f>
        <v>( Add new test case )</v>
      </c>
      <c r="C31" s="148" t="str">
        <f>$C$3</f>
        <v>( Remove previous test result )</v>
      </c>
      <c r="D31" s="103"/>
      <c r="E31" s="239" t="s">
        <v>200</v>
      </c>
      <c r="F31" s="239"/>
      <c r="G31" s="239"/>
      <c r="H31" s="66"/>
    </row>
    <row r="32" spans="1:8" ht="30">
      <c r="A32" s="52">
        <f>IF(AND(B32&lt;&gt;"",C32&lt;&gt;"",LEFT(B32,1)&lt;&gt;"#"),MAX($A$2:A31)+1,"")</f>
        <v>14</v>
      </c>
      <c r="B32" s="15" t="s">
        <v>273</v>
      </c>
      <c r="C32" s="87" t="s">
        <v>274</v>
      </c>
      <c r="D32" s="152"/>
      <c r="E32" s="55"/>
      <c r="F32" s="23" t="str">
        <f t="shared" ref="F32" ca="1" si="1">IF(E32&lt;&gt;"",NOW(),"")</f>
        <v/>
      </c>
      <c r="G32" s="70"/>
      <c r="H32" s="67"/>
    </row>
    <row r="33" spans="1:8">
      <c r="A33" s="121"/>
      <c r="B33" s="135" t="str">
        <f>$B$3</f>
        <v>( Add new test case )</v>
      </c>
      <c r="C33" s="148" t="str">
        <f>$C$3</f>
        <v>( Remove previous test result )</v>
      </c>
      <c r="D33" s="103"/>
      <c r="E33" s="239" t="s">
        <v>200</v>
      </c>
      <c r="F33" s="239"/>
      <c r="G33" s="239"/>
      <c r="H33" s="83"/>
    </row>
    <row r="34" spans="1:8" ht="15.75">
      <c r="A34" s="124" t="str">
        <f>IF(AND(B34&lt;&gt;"",C34&lt;&gt;"",LEFT(B34,1)&lt;&gt;"#"),MAX(#REF!)+1,"")</f>
        <v/>
      </c>
      <c r="B34" s="149" t="s">
        <v>261</v>
      </c>
      <c r="C34" s="125"/>
      <c r="D34" s="126"/>
      <c r="E34" s="127"/>
      <c r="F34" s="128"/>
      <c r="G34" s="128"/>
      <c r="H34" s="130"/>
    </row>
    <row r="35" spans="1:8" ht="60">
      <c r="A35" s="52">
        <f>IF(AND(B35&lt;&gt;"",C35&lt;&gt;"",LEFT(B35,1)&lt;&gt;"#"),MAX($A$2:A33)+1,"")</f>
        <v>15</v>
      </c>
      <c r="B35" s="14" t="s">
        <v>275</v>
      </c>
      <c r="C35" s="86" t="s">
        <v>276</v>
      </c>
      <c r="D35" s="51"/>
      <c r="E35" s="56"/>
      <c r="F35" s="26" t="str">
        <f t="shared" ref="F35" ca="1" si="2">IF(E35&lt;&gt;"",NOW(),"")</f>
        <v/>
      </c>
      <c r="G35" s="69"/>
      <c r="H35" s="65"/>
    </row>
    <row r="36" spans="1:8">
      <c r="A36" s="58"/>
      <c r="B36" s="135" t="str">
        <f>$B$3</f>
        <v>( Add new test case )</v>
      </c>
      <c r="C36" s="148" t="str">
        <f>$C$3</f>
        <v>( Remove previous test result )</v>
      </c>
      <c r="D36" s="103"/>
      <c r="E36" s="239" t="s">
        <v>200</v>
      </c>
      <c r="F36" s="239"/>
      <c r="G36" s="239"/>
      <c r="H36" s="66"/>
    </row>
    <row r="37" spans="1:8" ht="60">
      <c r="A37" s="52">
        <f>IF(AND(B37&lt;&gt;"",C37&lt;&gt;"",LEFT(B37,1)&lt;&gt;"#"),MAX($A$2:A36)+1,"")</f>
        <v>16</v>
      </c>
      <c r="B37" s="19" t="s">
        <v>277</v>
      </c>
      <c r="C37" s="89" t="s">
        <v>278</v>
      </c>
      <c r="D37" s="152"/>
      <c r="E37" s="55"/>
      <c r="F37" s="23" t="str">
        <f t="shared" ref="F37" ca="1" si="3">IF(E37&lt;&gt;"",NOW(),"")</f>
        <v/>
      </c>
      <c r="G37" s="70"/>
      <c r="H37" s="67"/>
    </row>
    <row r="38" spans="1:8">
      <c r="A38" s="58"/>
      <c r="B38" s="135" t="str">
        <f>$B$3</f>
        <v>( Add new test case )</v>
      </c>
      <c r="C38" s="148" t="str">
        <f>$C$3</f>
        <v>( Remove previous test result )</v>
      </c>
      <c r="D38" s="103"/>
      <c r="E38" s="239" t="s">
        <v>200</v>
      </c>
      <c r="F38" s="239"/>
      <c r="G38" s="239"/>
      <c r="H38" s="66"/>
    </row>
    <row r="39" spans="1:8">
      <c r="A39" s="52">
        <f>IF(AND(B39&lt;&gt;"",C39&lt;&gt;"",LEFT(B39,1)&lt;&gt;"#"),MAX($A$2:A38)+1,"")</f>
        <v>17</v>
      </c>
      <c r="B39" s="19" t="s">
        <v>279</v>
      </c>
      <c r="C39" s="89" t="s">
        <v>280</v>
      </c>
      <c r="D39" s="152"/>
      <c r="E39" s="55"/>
      <c r="F39" s="23"/>
      <c r="G39" s="70"/>
      <c r="H39" s="67"/>
    </row>
    <row r="40" spans="1:8">
      <c r="A40" s="58"/>
      <c r="B40" s="135" t="str">
        <f>$B$3</f>
        <v>( Add new test case )</v>
      </c>
      <c r="C40" s="148" t="str">
        <f>$C$3</f>
        <v>( Remove previous test result )</v>
      </c>
      <c r="D40" s="103"/>
      <c r="E40" s="239" t="s">
        <v>200</v>
      </c>
      <c r="F40" s="239"/>
      <c r="G40" s="239"/>
      <c r="H40" s="66"/>
    </row>
    <row r="41" spans="1:8">
      <c r="A41" s="52">
        <f>IF(AND(B41&lt;&gt;"",C41&lt;&gt;"",LEFT(B41,1)&lt;&gt;"#"),MAX($A$2:A40)+1,"")</f>
        <v>18</v>
      </c>
      <c r="B41" s="19" t="s">
        <v>281</v>
      </c>
      <c r="C41" s="89" t="s">
        <v>282</v>
      </c>
      <c r="D41" s="152"/>
      <c r="E41" s="55"/>
      <c r="F41" s="23"/>
      <c r="G41" s="70"/>
      <c r="H41" s="67"/>
    </row>
    <row r="42" spans="1:8">
      <c r="A42" s="58"/>
      <c r="B42" s="135" t="str">
        <f>$B$3</f>
        <v>( Add new test case )</v>
      </c>
      <c r="C42" s="148" t="str">
        <f>$C$3</f>
        <v>( Remove previous test result )</v>
      </c>
      <c r="D42" s="103"/>
      <c r="E42" s="239" t="s">
        <v>200</v>
      </c>
      <c r="F42" s="239"/>
      <c r="G42" s="239"/>
      <c r="H42" s="66"/>
    </row>
    <row r="43" spans="1:8" ht="30">
      <c r="A43" s="52">
        <f>IF(AND(B43&lt;&gt;"",C43&lt;&gt;"",LEFT(B43,1)&lt;&gt;"#"),MAX($A$2:A42)+1,"")</f>
        <v>19</v>
      </c>
      <c r="B43" s="19" t="s">
        <v>283</v>
      </c>
      <c r="C43" s="89" t="s">
        <v>284</v>
      </c>
      <c r="D43" s="152"/>
      <c r="E43" s="55"/>
      <c r="F43" s="23" t="str">
        <f t="shared" ref="F43" ca="1" si="4">IF(E43&lt;&gt;"",NOW(),"")</f>
        <v/>
      </c>
      <c r="G43" s="70"/>
      <c r="H43" s="67"/>
    </row>
    <row r="44" spans="1:8">
      <c r="A44" s="58"/>
      <c r="B44" s="135" t="str">
        <f>$B$3</f>
        <v>( Add new test case )</v>
      </c>
      <c r="C44" s="148" t="str">
        <f>$C$3</f>
        <v>( Remove previous test result )</v>
      </c>
      <c r="D44" s="103"/>
      <c r="E44" s="239" t="s">
        <v>200</v>
      </c>
      <c r="F44" s="239"/>
      <c r="G44" s="239"/>
      <c r="H44" s="66"/>
    </row>
    <row r="45" spans="1:8" ht="30">
      <c r="A45" s="52">
        <f>IF(AND(B45&lt;&gt;"",C45&lt;&gt;"",LEFT(B45,1)&lt;&gt;"#"),MAX($A$2:A44)+1,"")</f>
        <v>20</v>
      </c>
      <c r="B45" s="19" t="s">
        <v>285</v>
      </c>
      <c r="C45" s="89" t="s">
        <v>280</v>
      </c>
      <c r="D45" s="152"/>
      <c r="E45" s="55"/>
      <c r="F45" s="23" t="str">
        <f t="shared" ref="F45" ca="1" si="5">IF(E45&lt;&gt;"",NOW(),"")</f>
        <v/>
      </c>
      <c r="G45" s="70"/>
      <c r="H45" s="67"/>
    </row>
    <row r="46" spans="1:8">
      <c r="A46" s="58"/>
      <c r="B46" s="135" t="str">
        <f>$B$3</f>
        <v>( Add new test case )</v>
      </c>
      <c r="C46" s="148" t="str">
        <f>$C$3</f>
        <v>( Remove previous test result )</v>
      </c>
      <c r="D46" s="103"/>
      <c r="E46" s="239" t="s">
        <v>200</v>
      </c>
      <c r="F46" s="239"/>
      <c r="G46" s="239"/>
      <c r="H46" s="66"/>
    </row>
    <row r="47" spans="1:8" ht="30">
      <c r="A47" s="52">
        <f>IF(AND(B47&lt;&gt;"",C47&lt;&gt;"",LEFT(B47,1)&lt;&gt;"#"),MAX($A$2:A46)+1,"")</f>
        <v>21</v>
      </c>
      <c r="B47" s="19" t="s">
        <v>286</v>
      </c>
      <c r="C47" s="89" t="s">
        <v>280</v>
      </c>
      <c r="D47" s="152"/>
      <c r="E47" s="55"/>
      <c r="F47" s="23" t="str">
        <f t="shared" ref="F47" ca="1" si="6">IF(E47&lt;&gt;"",NOW(),"")</f>
        <v/>
      </c>
      <c r="G47" s="70"/>
      <c r="H47" s="67"/>
    </row>
    <row r="48" spans="1:8">
      <c r="A48" s="58"/>
      <c r="B48" s="135" t="str">
        <f>$B$3</f>
        <v>( Add new test case )</v>
      </c>
      <c r="C48" s="148" t="str">
        <f>$C$3</f>
        <v>( Remove previous test result )</v>
      </c>
      <c r="D48" s="103"/>
      <c r="E48" s="239" t="s">
        <v>200</v>
      </c>
      <c r="F48" s="239"/>
      <c r="G48" s="239"/>
      <c r="H48" s="66"/>
    </row>
    <row r="49" spans="1:8" ht="30">
      <c r="A49" s="52">
        <f>IF(AND(B49&lt;&gt;"",C49&lt;&gt;"",LEFT(B49,1)&lt;&gt;"#"),MAX($A$2:A48)+1,"")</f>
        <v>22</v>
      </c>
      <c r="B49" s="19" t="s">
        <v>287</v>
      </c>
      <c r="C49" s="89" t="s">
        <v>280</v>
      </c>
      <c r="D49" s="152"/>
      <c r="E49" s="55"/>
      <c r="F49" s="23" t="str">
        <f t="shared" ref="F49" ca="1" si="7">IF(E49&lt;&gt;"",NOW(),"")</f>
        <v/>
      </c>
      <c r="G49" s="70"/>
      <c r="H49" s="67"/>
    </row>
    <row r="50" spans="1:8">
      <c r="A50" s="58"/>
      <c r="B50" s="135" t="str">
        <f>$B$3</f>
        <v>( Add new test case )</v>
      </c>
      <c r="C50" s="148" t="str">
        <f>$C$3</f>
        <v>( Remove previous test result )</v>
      </c>
      <c r="D50" s="103"/>
      <c r="E50" s="239" t="s">
        <v>200</v>
      </c>
      <c r="F50" s="239"/>
      <c r="G50" s="239"/>
      <c r="H50" s="66"/>
    </row>
    <row r="51" spans="1:8" ht="30">
      <c r="A51" s="52">
        <f>IF(AND(B51&lt;&gt;"",C51&lt;&gt;"",LEFT(B51,1)&lt;&gt;"#"),MAX($A$2:A50)+1,"")</f>
        <v>23</v>
      </c>
      <c r="B51" s="19" t="s">
        <v>288</v>
      </c>
      <c r="C51" s="89" t="s">
        <v>280</v>
      </c>
      <c r="D51" s="152"/>
      <c r="E51" s="55"/>
      <c r="F51" s="23"/>
      <c r="G51" s="70"/>
      <c r="H51" s="67"/>
    </row>
    <row r="52" spans="1:8">
      <c r="A52" s="58"/>
      <c r="B52" s="135" t="str">
        <f>$B$3</f>
        <v>( Add new test case )</v>
      </c>
      <c r="C52" s="148" t="str">
        <f>$C$3</f>
        <v>( Remove previous test result )</v>
      </c>
      <c r="D52" s="103"/>
      <c r="E52" s="239" t="s">
        <v>200</v>
      </c>
      <c r="F52" s="239"/>
      <c r="G52" s="239"/>
      <c r="H52" s="66"/>
    </row>
    <row r="53" spans="1:8" ht="30">
      <c r="A53" s="52">
        <f>IF(AND(B53&lt;&gt;"",C53&lt;&gt;"",LEFT(B53,1)&lt;&gt;"#"),MAX($A$2:A52)+1,"")</f>
        <v>24</v>
      </c>
      <c r="B53" s="19" t="s">
        <v>289</v>
      </c>
      <c r="C53" s="89" t="s">
        <v>290</v>
      </c>
      <c r="D53" s="152"/>
      <c r="E53" s="55"/>
      <c r="F53" s="23"/>
      <c r="G53" s="70"/>
      <c r="H53" s="67"/>
    </row>
    <row r="54" spans="1:8">
      <c r="A54" s="58"/>
      <c r="B54" s="135" t="str">
        <f>$B$3</f>
        <v>( Add new test case )</v>
      </c>
      <c r="C54" s="148" t="str">
        <f>$C$3</f>
        <v>( Remove previous test result )</v>
      </c>
      <c r="D54" s="103"/>
      <c r="E54" s="239" t="s">
        <v>200</v>
      </c>
      <c r="F54" s="239"/>
      <c r="G54" s="239"/>
      <c r="H54" s="66"/>
    </row>
    <row r="55" spans="1:8" ht="45">
      <c r="A55" s="52">
        <f>IF(AND(B55&lt;&gt;"",C55&lt;&gt;"",LEFT(B55,1)&lt;&gt;"#"),MAX($A$2:A54)+1,"")</f>
        <v>25</v>
      </c>
      <c r="B55" s="19" t="s">
        <v>291</v>
      </c>
      <c r="C55" s="89" t="s">
        <v>292</v>
      </c>
      <c r="D55" s="152"/>
      <c r="E55" s="55"/>
      <c r="F55" s="23" t="str">
        <f t="shared" ref="F55" ca="1" si="8">IF(E55&lt;&gt;"",NOW(),"")</f>
        <v/>
      </c>
      <c r="G55" s="70"/>
      <c r="H55" s="67"/>
    </row>
    <row r="56" spans="1:8">
      <c r="A56" s="58"/>
      <c r="B56" s="135" t="str">
        <f>$B$3</f>
        <v>( Add new test case )</v>
      </c>
      <c r="C56" s="148" t="str">
        <f>$C$3</f>
        <v>( Remove previous test result )</v>
      </c>
      <c r="D56" s="103"/>
      <c r="E56" s="239" t="s">
        <v>200</v>
      </c>
      <c r="F56" s="239"/>
      <c r="G56" s="239"/>
      <c r="H56" s="66"/>
    </row>
    <row r="57" spans="1:8" ht="30">
      <c r="A57" s="52">
        <f>IF(AND(B57&lt;&gt;"",C57&lt;&gt;"",LEFT(B57,1)&lt;&gt;"#"),MAX($A$2:A56)+1,"")</f>
        <v>26</v>
      </c>
      <c r="B57" s="84" t="s">
        <v>207</v>
      </c>
      <c r="C57" s="84" t="s">
        <v>293</v>
      </c>
      <c r="D57" s="152"/>
      <c r="E57" s="55"/>
      <c r="F57" s="23" t="str">
        <f t="shared" ref="F57" ca="1" si="9">IF(E57&lt;&gt;"",NOW(),"")</f>
        <v/>
      </c>
      <c r="G57" s="70"/>
      <c r="H57" s="80" t="s">
        <v>209</v>
      </c>
    </row>
    <row r="58" spans="1:8">
      <c r="A58" s="121"/>
      <c r="B58" s="135" t="str">
        <f>$B$3</f>
        <v>( Add new test case )</v>
      </c>
      <c r="C58" s="148" t="str">
        <f>$C$3</f>
        <v>( Remove previous test result )</v>
      </c>
      <c r="D58" s="103"/>
      <c r="E58" s="239" t="s">
        <v>200</v>
      </c>
      <c r="F58" s="239"/>
      <c r="G58" s="239"/>
      <c r="H58" s="83"/>
    </row>
    <row r="59" spans="1:8" ht="15.75">
      <c r="A59" s="124" t="str">
        <f>IF(AND(B59&lt;&gt;"",C59&lt;&gt;"",LEFT(B59,1)&lt;&gt;"#"),MAX(#REF!)+1,"")</f>
        <v/>
      </c>
      <c r="B59" s="150" t="s">
        <v>294</v>
      </c>
      <c r="C59" s="125"/>
      <c r="D59" s="126"/>
      <c r="E59" s="127"/>
      <c r="F59" s="128"/>
      <c r="G59" s="128"/>
      <c r="H59" s="130"/>
    </row>
    <row r="60" spans="1:8" ht="75">
      <c r="A60" s="52">
        <f>IF(AND(B60&lt;&gt;"",C60&lt;&gt;"",LEFT(B60,1)&lt;&gt;"#"),MAX($A$2:A58)+1,"")</f>
        <v>27</v>
      </c>
      <c r="B60" s="14" t="s">
        <v>295</v>
      </c>
      <c r="C60" s="10" t="s">
        <v>296</v>
      </c>
      <c r="D60" s="51"/>
      <c r="E60" s="56"/>
      <c r="F60" s="26" t="str">
        <f t="shared" ref="F60" ca="1" si="10">IF(E60&lt;&gt;"",NOW(),"")</f>
        <v/>
      </c>
      <c r="G60" s="69"/>
      <c r="H60" s="65" t="s">
        <v>297</v>
      </c>
    </row>
    <row r="61" spans="1:8">
      <c r="A61" s="58"/>
      <c r="B61" s="135" t="str">
        <f>$B$3</f>
        <v>( Add new test case )</v>
      </c>
      <c r="C61" s="148" t="str">
        <f>$C$3</f>
        <v>( Remove previous test result )</v>
      </c>
      <c r="D61" s="103"/>
      <c r="E61" s="239" t="s">
        <v>200</v>
      </c>
      <c r="F61" s="239"/>
      <c r="G61" s="239"/>
      <c r="H61" s="66"/>
    </row>
    <row r="62" spans="1:8" ht="60">
      <c r="A62" s="52">
        <f>IF(AND(B62&lt;&gt;"",C62&lt;&gt;"",LEFT(B62,1)&lt;&gt;"#"),MAX($A$2:A61)+1,"")</f>
        <v>28</v>
      </c>
      <c r="B62" s="15" t="s">
        <v>215</v>
      </c>
      <c r="C62" s="4" t="s">
        <v>216</v>
      </c>
      <c r="D62" s="152"/>
      <c r="E62" s="55"/>
      <c r="F62" s="23" t="str">
        <f t="shared" ref="F62" ca="1" si="11">IF(E62&lt;&gt;"",NOW(),"")</f>
        <v/>
      </c>
      <c r="G62" s="70"/>
      <c r="H62" s="81" t="s">
        <v>298</v>
      </c>
    </row>
    <row r="63" spans="1:8">
      <c r="A63" s="58"/>
      <c r="B63" s="135" t="str">
        <f>$B$3</f>
        <v>( Add new test case )</v>
      </c>
      <c r="C63" s="148" t="str">
        <f>$C$3</f>
        <v>( Remove previous test result )</v>
      </c>
      <c r="D63" s="103"/>
      <c r="E63" s="239" t="s">
        <v>200</v>
      </c>
      <c r="F63" s="239"/>
      <c r="G63" s="239"/>
      <c r="H63" s="66"/>
    </row>
    <row r="64" spans="1:8" ht="45">
      <c r="A64" s="52">
        <f>IF(AND(B64&lt;&gt;"",C64&lt;&gt;"",LEFT(B64,1)&lt;&gt;"#"),MAX($A$2:A63)+1,"")</f>
        <v>29</v>
      </c>
      <c r="B64" s="15" t="s">
        <v>217</v>
      </c>
      <c r="C64" s="4" t="s">
        <v>218</v>
      </c>
      <c r="D64" s="152"/>
      <c r="E64" s="55"/>
      <c r="F64" s="23"/>
      <c r="G64" s="70"/>
      <c r="H64" s="81" t="s">
        <v>298</v>
      </c>
    </row>
    <row r="65" spans="1:8">
      <c r="A65" s="58"/>
      <c r="B65" s="135" t="str">
        <f>$B$3</f>
        <v>( Add new test case )</v>
      </c>
      <c r="C65" s="148" t="str">
        <f>$C$3</f>
        <v>( Remove previous test result )</v>
      </c>
      <c r="D65" s="103"/>
      <c r="E65" s="239" t="s">
        <v>200</v>
      </c>
      <c r="F65" s="239"/>
      <c r="G65" s="239"/>
      <c r="H65" s="66"/>
    </row>
    <row r="66" spans="1:8" ht="45">
      <c r="A66" s="52">
        <f>IF(AND(B66&lt;&gt;"",C66&lt;&gt;"",LEFT(B66,1)&lt;&gt;"#"),MAX($A$2:A65)+1,"")</f>
        <v>30</v>
      </c>
      <c r="B66" s="15" t="s">
        <v>217</v>
      </c>
      <c r="C66" s="4" t="s">
        <v>218</v>
      </c>
      <c r="D66" s="152"/>
      <c r="E66" s="55"/>
      <c r="F66" s="23"/>
      <c r="G66" s="70"/>
      <c r="H66" s="67"/>
    </row>
    <row r="67" spans="1:8">
      <c r="A67" s="58"/>
      <c r="B67" s="135" t="str">
        <f>$B$3</f>
        <v>( Add new test case )</v>
      </c>
      <c r="C67" s="148" t="str">
        <f>$C$3</f>
        <v>( Remove previous test result )</v>
      </c>
      <c r="D67" s="103"/>
      <c r="E67" s="239" t="s">
        <v>200</v>
      </c>
      <c r="F67" s="239"/>
      <c r="G67" s="239"/>
      <c r="H67" s="66"/>
    </row>
    <row r="68" spans="1:8">
      <c r="A68" s="52">
        <f>IF(AND(B68&lt;&gt;"",C68&lt;&gt;"",LEFT(B68,1)&lt;&gt;"#"),MAX($A$2:A67)+1,"")</f>
        <v>31</v>
      </c>
      <c r="B68" s="15" t="s">
        <v>299</v>
      </c>
      <c r="C68" s="4" t="s">
        <v>300</v>
      </c>
      <c r="D68" s="152"/>
      <c r="E68" s="55"/>
      <c r="F68" s="23"/>
      <c r="G68" s="70"/>
      <c r="H68" s="67"/>
    </row>
    <row r="69" spans="1:8">
      <c r="A69" s="58"/>
      <c r="B69" s="135" t="str">
        <f>$B$3</f>
        <v>( Add new test case )</v>
      </c>
      <c r="C69" s="148" t="str">
        <f>$C$3</f>
        <v>( Remove previous test result )</v>
      </c>
      <c r="D69" s="103"/>
      <c r="E69" s="239" t="s">
        <v>200</v>
      </c>
      <c r="F69" s="239"/>
      <c r="G69" s="239"/>
      <c r="H69" s="66"/>
    </row>
    <row r="70" spans="1:8" ht="30">
      <c r="A70" s="52">
        <f>IF(AND(B70&lt;&gt;"",C70&lt;&gt;"",LEFT(B70,1)&lt;&gt;"#"),MAX($A$2:A69)+1,"")</f>
        <v>32</v>
      </c>
      <c r="B70" s="15" t="s">
        <v>301</v>
      </c>
      <c r="C70" s="4" t="s">
        <v>302</v>
      </c>
      <c r="D70" s="152"/>
      <c r="E70" s="55"/>
      <c r="F70" s="23"/>
      <c r="G70" s="70"/>
      <c r="H70" s="67"/>
    </row>
    <row r="71" spans="1:8">
      <c r="A71" s="121"/>
      <c r="B71" s="135" t="str">
        <f>$B$3</f>
        <v>( Add new test case )</v>
      </c>
      <c r="C71" s="148" t="str">
        <f>$C$3</f>
        <v>( Remove previous test result )</v>
      </c>
      <c r="D71" s="103"/>
      <c r="E71" s="239" t="s">
        <v>200</v>
      </c>
      <c r="F71" s="239"/>
      <c r="G71" s="239"/>
      <c r="H71" s="83"/>
    </row>
    <row r="72" spans="1:8" ht="15.75">
      <c r="A72" s="124" t="str">
        <f>IF(AND(B72&lt;&gt;"",C72&lt;&gt;"",LEFT(B72,1)&lt;&gt;"#"),MAX(#REF!)+1,"")</f>
        <v/>
      </c>
      <c r="B72" s="150" t="s">
        <v>68</v>
      </c>
      <c r="C72" s="125"/>
      <c r="D72" s="126"/>
      <c r="E72" s="127"/>
      <c r="F72" s="128"/>
      <c r="G72" s="128"/>
      <c r="H72" s="130"/>
    </row>
    <row r="73" spans="1:8">
      <c r="A73" s="52">
        <f>IF(AND(B73&lt;&gt;"",C73&lt;&gt;"",LEFT(B73,1)&lt;&gt;"#"),MAX($A$2:A71)+1,"")</f>
        <v>33</v>
      </c>
      <c r="B73" s="14" t="s">
        <v>303</v>
      </c>
      <c r="C73" s="10" t="s">
        <v>304</v>
      </c>
      <c r="D73" s="51"/>
      <c r="E73" s="56"/>
      <c r="F73" s="26"/>
      <c r="G73" s="69"/>
      <c r="H73" s="65"/>
    </row>
    <row r="74" spans="1:8">
      <c r="A74" s="58"/>
      <c r="B74" s="135" t="str">
        <f>$B$3</f>
        <v>( Add new test case )</v>
      </c>
      <c r="C74" s="148" t="str">
        <f>$C$3</f>
        <v>( Remove previous test result )</v>
      </c>
      <c r="D74" s="103"/>
      <c r="E74" s="239" t="s">
        <v>200</v>
      </c>
      <c r="F74" s="239"/>
      <c r="G74" s="239"/>
      <c r="H74" s="66"/>
    </row>
    <row r="75" spans="1:8">
      <c r="A75" s="52">
        <f>IF(AND(B75&lt;&gt;"",C75&lt;&gt;"",LEFT(B75,1)&lt;&gt;"#"),MAX($A$2:A74)+1,"")</f>
        <v>34</v>
      </c>
      <c r="B75" s="15" t="s">
        <v>305</v>
      </c>
      <c r="C75" s="4" t="s">
        <v>306</v>
      </c>
      <c r="D75" s="152"/>
      <c r="E75" s="55"/>
      <c r="F75" s="23" t="str">
        <f t="shared" ref="F75" ca="1" si="12">IF(E75&lt;&gt;"",NOW(),"")</f>
        <v/>
      </c>
      <c r="G75" s="70"/>
      <c r="H75" s="67"/>
    </row>
    <row r="76" spans="1:8">
      <c r="A76" s="58"/>
      <c r="B76" s="135" t="str">
        <f>$B$3</f>
        <v>( Add new test case )</v>
      </c>
      <c r="C76" s="148" t="str">
        <f>$C$3</f>
        <v>( Remove previous test result )</v>
      </c>
      <c r="D76" s="103"/>
      <c r="E76" s="239" t="s">
        <v>200</v>
      </c>
      <c r="F76" s="239"/>
      <c r="G76" s="239"/>
      <c r="H76" s="66"/>
    </row>
    <row r="77" spans="1:8" ht="30">
      <c r="A77" s="52">
        <f>IF(AND(B77&lt;&gt;"",C77&lt;&gt;"",LEFT(B77,1)&lt;&gt;"#"),MAX($A$2:A76)+1,"")</f>
        <v>35</v>
      </c>
      <c r="B77" s="15" t="s">
        <v>307</v>
      </c>
      <c r="C77" s="4" t="s">
        <v>308</v>
      </c>
      <c r="D77" s="152"/>
      <c r="E77" s="55"/>
      <c r="F77" s="23" t="str">
        <f t="shared" ref="F77" ca="1" si="13">IF(E77&lt;&gt;"",NOW(),"")</f>
        <v/>
      </c>
      <c r="G77" s="70"/>
      <c r="H77" s="67"/>
    </row>
    <row r="78" spans="1:8">
      <c r="A78" s="58"/>
      <c r="B78" s="135" t="str">
        <f>$B$3</f>
        <v>( Add new test case )</v>
      </c>
      <c r="C78" s="148" t="str">
        <f>$C$3</f>
        <v>( Remove previous test result )</v>
      </c>
      <c r="D78" s="103"/>
      <c r="E78" s="239" t="s">
        <v>200</v>
      </c>
      <c r="F78" s="239"/>
      <c r="G78" s="239"/>
      <c r="H78" s="66"/>
    </row>
    <row r="79" spans="1:8">
      <c r="A79" s="52">
        <f>IF(AND(B79&lt;&gt;"",C79&lt;&gt;"",LEFT(B79,1)&lt;&gt;"#"),MAX($A$2:A78)+1,"")</f>
        <v>36</v>
      </c>
      <c r="B79" s="15" t="s">
        <v>309</v>
      </c>
      <c r="C79" s="4" t="s">
        <v>310</v>
      </c>
      <c r="D79" s="152"/>
      <c r="E79" s="55"/>
      <c r="F79" s="23" t="str">
        <f t="shared" ref="F79" ca="1" si="14">IF(E79&lt;&gt;"",NOW(),"")</f>
        <v/>
      </c>
      <c r="G79" s="70"/>
      <c r="H79" s="67"/>
    </row>
    <row r="80" spans="1:8">
      <c r="A80" s="58"/>
      <c r="B80" s="135" t="str">
        <f>$B$3</f>
        <v>( Add new test case )</v>
      </c>
      <c r="C80" s="148" t="str">
        <f>$C$3</f>
        <v>( Remove previous test result )</v>
      </c>
      <c r="D80" s="103"/>
      <c r="E80" s="239" t="s">
        <v>200</v>
      </c>
      <c r="F80" s="239"/>
      <c r="G80" s="239"/>
      <c r="H80" s="66"/>
    </row>
    <row r="81" spans="1:8">
      <c r="A81" s="52">
        <f>IF(AND(B81&lt;&gt;"",C81&lt;&gt;"",LEFT(B81,1)&lt;&gt;"#"),MAX($A$2:A80)+1,"")</f>
        <v>37</v>
      </c>
      <c r="B81" s="15" t="s">
        <v>311</v>
      </c>
      <c r="C81" s="4" t="s">
        <v>312</v>
      </c>
      <c r="D81" s="152"/>
      <c r="E81" s="55"/>
      <c r="F81" s="23" t="str">
        <f t="shared" ref="F81" ca="1" si="15">IF(E81&lt;&gt;"",NOW(),"")</f>
        <v/>
      </c>
      <c r="G81" s="70"/>
      <c r="H81" s="67"/>
    </row>
    <row r="82" spans="1:8">
      <c r="A82" s="58"/>
      <c r="B82" s="135" t="str">
        <f>$B$3</f>
        <v>( Add new test case )</v>
      </c>
      <c r="C82" s="148" t="str">
        <f>$C$3</f>
        <v>( Remove previous test result )</v>
      </c>
      <c r="D82" s="103"/>
      <c r="E82" s="239" t="s">
        <v>200</v>
      </c>
      <c r="F82" s="239"/>
      <c r="G82" s="239"/>
      <c r="H82" s="66"/>
    </row>
    <row r="83" spans="1:8">
      <c r="A83" s="52">
        <f>IF(AND(B83&lt;&gt;"",C83&lt;&gt;"",LEFT(B83,1)&lt;&gt;"#"),MAX($A$2:A82)+1,"")</f>
        <v>38</v>
      </c>
      <c r="B83" s="15" t="s">
        <v>313</v>
      </c>
      <c r="C83" s="4" t="s">
        <v>314</v>
      </c>
      <c r="D83" s="152"/>
      <c r="E83" s="55"/>
      <c r="F83" s="23"/>
      <c r="G83" s="70"/>
      <c r="H83" s="67"/>
    </row>
    <row r="84" spans="1:8">
      <c r="A84" s="58"/>
      <c r="B84" s="135" t="str">
        <f>$B$3</f>
        <v>( Add new test case )</v>
      </c>
      <c r="C84" s="148" t="str">
        <f>$C$3</f>
        <v>( Remove previous test result )</v>
      </c>
      <c r="D84" s="103"/>
      <c r="E84" s="239" t="s">
        <v>200</v>
      </c>
      <c r="F84" s="239"/>
      <c r="G84" s="239"/>
      <c r="H84" s="66"/>
    </row>
    <row r="85" spans="1:8">
      <c r="A85" s="52">
        <f>IF(AND(B85&lt;&gt;"",C85&lt;&gt;"",LEFT(B85,1)&lt;&gt;"#"),MAX($A$2:A84)+1,"")</f>
        <v>39</v>
      </c>
      <c r="B85" s="20" t="s">
        <v>315</v>
      </c>
      <c r="C85" s="95" t="s">
        <v>316</v>
      </c>
      <c r="D85" s="152"/>
      <c r="E85" s="55"/>
      <c r="F85" s="23"/>
      <c r="G85" s="70"/>
      <c r="H85" s="67"/>
    </row>
    <row r="86" spans="1:8">
      <c r="A86" s="58"/>
      <c r="B86" s="135" t="str">
        <f>$B$3</f>
        <v>( Add new test case )</v>
      </c>
      <c r="C86" s="148" t="str">
        <f>$C$3</f>
        <v>( Remove previous test result )</v>
      </c>
      <c r="D86" s="103"/>
      <c r="E86" s="239" t="s">
        <v>200</v>
      </c>
      <c r="F86" s="239"/>
      <c r="G86" s="239"/>
      <c r="H86" s="66"/>
    </row>
    <row r="87" spans="1:8">
      <c r="A87" s="52">
        <f>IF(AND(B87&lt;&gt;"",C87&lt;&gt;"",LEFT(B87,1)&lt;&gt;"#"),MAX($A$2:A86)+1,"")</f>
        <v>40</v>
      </c>
      <c r="B87" s="21" t="s">
        <v>317</v>
      </c>
      <c r="C87" s="8" t="s">
        <v>318</v>
      </c>
      <c r="D87" s="152"/>
      <c r="E87" s="55"/>
      <c r="F87" s="23" t="str">
        <f t="shared" ref="F87" ca="1" si="16">IF(E87&lt;&gt;"",NOW(),"")</f>
        <v/>
      </c>
      <c r="G87" s="70"/>
      <c r="H87" s="67"/>
    </row>
    <row r="88" spans="1:8">
      <c r="A88" s="58"/>
      <c r="B88" s="135" t="str">
        <f>$B$3</f>
        <v>( Add new test case )</v>
      </c>
      <c r="C88" s="148" t="str">
        <f>$C$3</f>
        <v>( Remove previous test result )</v>
      </c>
      <c r="D88" s="103"/>
      <c r="E88" s="239" t="s">
        <v>200</v>
      </c>
      <c r="F88" s="239"/>
      <c r="G88" s="239"/>
      <c r="H88" s="66"/>
    </row>
    <row r="89" spans="1:8" ht="30">
      <c r="A89" s="52">
        <f>IF(AND(B89&lt;&gt;"",C89&lt;&gt;"",LEFT(B89,1)&lt;&gt;"#"),MAX($A$2:A88)+1,"")</f>
        <v>41</v>
      </c>
      <c r="B89" s="21" t="s">
        <v>319</v>
      </c>
      <c r="C89" s="8" t="s">
        <v>320</v>
      </c>
      <c r="D89" s="152"/>
      <c r="E89" s="55"/>
      <c r="F89" s="23" t="str">
        <f t="shared" ref="F89" ca="1" si="17">IF(E89&lt;&gt;"",NOW(),"")</f>
        <v/>
      </c>
      <c r="G89" s="70"/>
      <c r="H89" s="67"/>
    </row>
    <row r="90" spans="1:8">
      <c r="A90" s="58"/>
      <c r="B90" s="135" t="str">
        <f>$B$3</f>
        <v>( Add new test case )</v>
      </c>
      <c r="C90" s="148" t="str">
        <f>$C$3</f>
        <v>( Remove previous test result )</v>
      </c>
      <c r="D90" s="103"/>
      <c r="E90" s="239" t="s">
        <v>200</v>
      </c>
      <c r="F90" s="239"/>
      <c r="G90" s="239"/>
      <c r="H90" s="66"/>
    </row>
    <row r="91" spans="1:8" ht="30">
      <c r="A91" s="52">
        <f>IF(AND(B91&lt;&gt;"",C91&lt;&gt;"",LEFT(B91,1)&lt;&gt;"#"),MAX($A$2:A90)+1,"")</f>
        <v>42</v>
      </c>
      <c r="B91" s="21" t="s">
        <v>321</v>
      </c>
      <c r="C91" s="96" t="s">
        <v>322</v>
      </c>
      <c r="D91" s="152"/>
      <c r="E91" s="55"/>
      <c r="F91" s="23" t="str">
        <f t="shared" ref="F91" ca="1" si="18">IF(E91&lt;&gt;"",NOW(),"")</f>
        <v/>
      </c>
      <c r="G91" s="70"/>
      <c r="H91" s="67"/>
    </row>
    <row r="92" spans="1:8">
      <c r="A92" s="58"/>
      <c r="B92" s="135" t="str">
        <f>$B$3</f>
        <v>( Add new test case )</v>
      </c>
      <c r="C92" s="148" t="str">
        <f>$C$3</f>
        <v>( Remove previous test result )</v>
      </c>
      <c r="D92" s="103"/>
      <c r="E92" s="239" t="s">
        <v>200</v>
      </c>
      <c r="F92" s="239"/>
      <c r="G92" s="239"/>
      <c r="H92" s="66"/>
    </row>
    <row r="93" spans="1:8" ht="30">
      <c r="A93" s="52">
        <f>IF(AND(B93&lt;&gt;"",C93&lt;&gt;"",LEFT(B93,1)&lt;&gt;"#"),MAX($A$2:A92)+1,"")</f>
        <v>43</v>
      </c>
      <c r="B93" s="21" t="s">
        <v>323</v>
      </c>
      <c r="C93" s="96" t="s">
        <v>322</v>
      </c>
      <c r="D93" s="152"/>
      <c r="E93" s="55"/>
      <c r="F93" s="23" t="str">
        <f t="shared" ref="F93" ca="1" si="19">IF(E93&lt;&gt;"",NOW(),"")</f>
        <v/>
      </c>
      <c r="G93" s="70"/>
      <c r="H93" s="81" t="s">
        <v>227</v>
      </c>
    </row>
    <row r="94" spans="1:8">
      <c r="A94" s="58"/>
      <c r="B94" s="135" t="str">
        <f>$B$3</f>
        <v>( Add new test case )</v>
      </c>
      <c r="C94" s="148" t="str">
        <f>$C$3</f>
        <v>( Remove previous test result )</v>
      </c>
      <c r="D94" s="103"/>
      <c r="E94" s="239" t="s">
        <v>200</v>
      </c>
      <c r="F94" s="239"/>
      <c r="G94" s="239"/>
      <c r="H94" s="66"/>
    </row>
    <row r="95" spans="1:8">
      <c r="A95" s="52">
        <f>IF(AND(B95&lt;&gt;"",C95&lt;&gt;"",LEFT(B95,1)&lt;&gt;"#"),MAX($A$2:A94)+1,"")</f>
        <v>44</v>
      </c>
      <c r="B95" s="21" t="s">
        <v>324</v>
      </c>
      <c r="C95" s="8" t="s">
        <v>325</v>
      </c>
      <c r="D95" s="152"/>
      <c r="E95" s="55"/>
      <c r="F95" s="23"/>
      <c r="G95" s="70"/>
      <c r="H95" s="67"/>
    </row>
    <row r="96" spans="1:8">
      <c r="A96" s="58"/>
      <c r="B96" s="135" t="str">
        <f>$B$3</f>
        <v>( Add new test case )</v>
      </c>
      <c r="C96" s="148" t="str">
        <f>$C$3</f>
        <v>( Remove previous test result )</v>
      </c>
      <c r="D96" s="103"/>
      <c r="E96" s="239" t="s">
        <v>200</v>
      </c>
      <c r="F96" s="239"/>
      <c r="G96" s="239"/>
      <c r="H96" s="66"/>
    </row>
    <row r="97" spans="1:8">
      <c r="A97" s="52">
        <f>IF(AND(B97&lt;&gt;"",C97&lt;&gt;"",LEFT(B97,1)&lt;&gt;"#"),MAX($A$2:A96)+1,"")</f>
        <v>45</v>
      </c>
      <c r="B97" s="21" t="s">
        <v>326</v>
      </c>
      <c r="C97" s="8" t="s">
        <v>327</v>
      </c>
      <c r="D97" s="152"/>
      <c r="E97" s="55"/>
      <c r="F97" s="23"/>
      <c r="G97" s="70"/>
      <c r="H97" s="67"/>
    </row>
    <row r="98" spans="1:8">
      <c r="A98" s="58"/>
      <c r="B98" s="135" t="str">
        <f>$B$3</f>
        <v>( Add new test case )</v>
      </c>
      <c r="C98" s="148" t="str">
        <f>$C$3</f>
        <v>( Remove previous test result )</v>
      </c>
      <c r="D98" s="103"/>
      <c r="E98" s="239" t="s">
        <v>200</v>
      </c>
      <c r="F98" s="239"/>
      <c r="G98" s="239"/>
      <c r="H98" s="66"/>
    </row>
    <row r="99" spans="1:8">
      <c r="A99" s="52">
        <f>IF(AND(B99&lt;&gt;"",C99&lt;&gt;"",LEFT(B99,1)&lt;&gt;"#"),MAX($A$2:A97)+1,"")</f>
        <v>46</v>
      </c>
      <c r="B99" s="93" t="s">
        <v>328</v>
      </c>
      <c r="C99" s="94" t="s">
        <v>325</v>
      </c>
      <c r="D99" s="152"/>
      <c r="E99" s="55"/>
      <c r="F99" s="23"/>
      <c r="G99" s="70"/>
      <c r="H99" s="80" t="s">
        <v>229</v>
      </c>
    </row>
    <row r="100" spans="1:8">
      <c r="A100" s="58"/>
      <c r="B100" s="135" t="str">
        <f>$B$3</f>
        <v>( Add new test case )</v>
      </c>
      <c r="C100" s="148" t="str">
        <f>$C$3</f>
        <v>( Remove previous test result )</v>
      </c>
      <c r="D100" s="103"/>
      <c r="E100" s="239" t="s">
        <v>200</v>
      </c>
      <c r="F100" s="239"/>
      <c r="G100" s="239"/>
      <c r="H100" s="66"/>
    </row>
    <row r="101" spans="1:8">
      <c r="A101" s="52">
        <f>IF(AND(B101&lt;&gt;"",C101&lt;&gt;"",LEFT(B101,1)&lt;&gt;"#"),MAX($A$2:A100)+1,"")</f>
        <v>47</v>
      </c>
      <c r="B101" s="15" t="s">
        <v>329</v>
      </c>
      <c r="C101" s="4" t="s">
        <v>325</v>
      </c>
      <c r="D101" s="152"/>
      <c r="E101" s="55"/>
      <c r="F101" s="23" t="str">
        <f t="shared" ref="F101" ca="1" si="20">IF(E101&lt;&gt;"",NOW(),"")</f>
        <v/>
      </c>
      <c r="G101" s="70"/>
      <c r="H101" s="67"/>
    </row>
    <row r="102" spans="1:8">
      <c r="A102" s="58"/>
      <c r="B102" s="135" t="str">
        <f>$B$3</f>
        <v>( Add new test case )</v>
      </c>
      <c r="C102" s="148" t="str">
        <f>$C$3</f>
        <v>( Remove previous test result )</v>
      </c>
      <c r="D102" s="103"/>
      <c r="E102" s="239" t="s">
        <v>200</v>
      </c>
      <c r="F102" s="239"/>
      <c r="G102" s="239"/>
      <c r="H102" s="66"/>
    </row>
    <row r="103" spans="1:8">
      <c r="A103" s="52">
        <f>IF(AND(B103&lt;&gt;"",C103&lt;&gt;"",LEFT(B103,1)&lt;&gt;"#"),MAX($A$2:A102)+1,"")</f>
        <v>48</v>
      </c>
      <c r="B103" s="15" t="s">
        <v>330</v>
      </c>
      <c r="C103" s="4" t="s">
        <v>325</v>
      </c>
      <c r="D103" s="152"/>
      <c r="E103" s="55"/>
      <c r="F103" s="23" t="str">
        <f t="shared" ref="F103" ca="1" si="21">IF(E103&lt;&gt;"",NOW(),"")</f>
        <v/>
      </c>
      <c r="G103" s="70"/>
      <c r="H103" s="67"/>
    </row>
    <row r="104" spans="1:8">
      <c r="A104" s="58"/>
      <c r="B104" s="135" t="str">
        <f>$B$3</f>
        <v>( Add new test case )</v>
      </c>
      <c r="C104" s="148" t="str">
        <f>$C$3</f>
        <v>( Remove previous test result )</v>
      </c>
      <c r="D104" s="103"/>
      <c r="E104" s="239" t="s">
        <v>200</v>
      </c>
      <c r="F104" s="239"/>
      <c r="G104" s="239"/>
      <c r="H104" s="66"/>
    </row>
    <row r="105" spans="1:8">
      <c r="A105" s="52">
        <f>IF(AND(B105&lt;&gt;"",C105&lt;&gt;"",LEFT(B105,1)&lt;&gt;"#"),MAX($A$2:A104)+1,"")</f>
        <v>49</v>
      </c>
      <c r="B105" s="15" t="s">
        <v>331</v>
      </c>
      <c r="C105" s="4" t="s">
        <v>325</v>
      </c>
      <c r="D105" s="152"/>
      <c r="E105" s="55"/>
      <c r="F105" s="23" t="str">
        <f t="shared" ref="F105" ca="1" si="22">IF(E105&lt;&gt;"",NOW(),"")</f>
        <v/>
      </c>
      <c r="G105" s="70"/>
      <c r="H105" s="67"/>
    </row>
    <row r="106" spans="1:8">
      <c r="A106" s="58"/>
      <c r="B106" s="135" t="str">
        <f>$B$3</f>
        <v>( Add new test case )</v>
      </c>
      <c r="C106" s="148" t="str">
        <f>$C$3</f>
        <v>( Remove previous test result )</v>
      </c>
      <c r="D106" s="103"/>
      <c r="E106" s="239" t="s">
        <v>200</v>
      </c>
      <c r="F106" s="239"/>
      <c r="G106" s="239"/>
      <c r="H106" s="66"/>
    </row>
    <row r="107" spans="1:8">
      <c r="A107" s="52">
        <f>IF(AND(B107&lt;&gt;"",C107&lt;&gt;"",LEFT(B107,1)&lt;&gt;"#"),MAX($A$2:A106)+1,"")</f>
        <v>50</v>
      </c>
      <c r="B107" s="15" t="s">
        <v>332</v>
      </c>
      <c r="C107" s="4" t="s">
        <v>325</v>
      </c>
      <c r="D107" s="152"/>
      <c r="E107" s="55"/>
      <c r="F107" s="23" t="str">
        <f t="shared" ref="F107" ca="1" si="23">IF(E107&lt;&gt;"",NOW(),"")</f>
        <v/>
      </c>
      <c r="G107" s="70"/>
      <c r="H107" s="67"/>
    </row>
    <row r="108" spans="1:8">
      <c r="A108" s="58"/>
      <c r="B108" s="135" t="str">
        <f>$B$3</f>
        <v>( Add new test case )</v>
      </c>
      <c r="C108" s="148" t="str">
        <f>$C$3</f>
        <v>( Remove previous test result )</v>
      </c>
      <c r="D108" s="103"/>
      <c r="E108" s="239" t="s">
        <v>200</v>
      </c>
      <c r="F108" s="239"/>
      <c r="G108" s="239"/>
      <c r="H108" s="66"/>
    </row>
    <row r="109" spans="1:8">
      <c r="A109" s="52">
        <f>IF(AND(B109&lt;&gt;"",C109&lt;&gt;"",LEFT(B109,1)&lt;&gt;"#"),MAX($A$2:A108)+1,"")</f>
        <v>51</v>
      </c>
      <c r="B109" s="15" t="s">
        <v>333</v>
      </c>
      <c r="C109" s="4" t="s">
        <v>334</v>
      </c>
      <c r="D109" s="152"/>
      <c r="E109" s="55"/>
      <c r="F109" s="23"/>
      <c r="G109" s="70"/>
      <c r="H109" s="67"/>
    </row>
    <row r="110" spans="1:8">
      <c r="A110" s="58"/>
      <c r="B110" s="135" t="str">
        <f>$B$3</f>
        <v>( Add new test case )</v>
      </c>
      <c r="C110" s="148" t="str">
        <f>$C$3</f>
        <v>( Remove previous test result )</v>
      </c>
      <c r="D110" s="103"/>
      <c r="E110" s="239" t="s">
        <v>200</v>
      </c>
      <c r="F110" s="239"/>
      <c r="G110" s="239"/>
      <c r="H110" s="66"/>
    </row>
    <row r="111" spans="1:8">
      <c r="A111" s="52">
        <f>IF(AND(B111&lt;&gt;"",C111&lt;&gt;"",LEFT(B111,1)&lt;&gt;"#"),MAX($A$2:A110)+1,"")</f>
        <v>52</v>
      </c>
      <c r="B111" s="15" t="s">
        <v>335</v>
      </c>
      <c r="C111" s="4" t="s">
        <v>327</v>
      </c>
      <c r="D111" s="152"/>
      <c r="E111" s="55"/>
      <c r="F111" s="23"/>
      <c r="G111" s="70"/>
      <c r="H111" s="67"/>
    </row>
    <row r="112" spans="1:8">
      <c r="A112" s="58"/>
      <c r="B112" s="135" t="str">
        <f>$B$3</f>
        <v>( Add new test case )</v>
      </c>
      <c r="C112" s="148" t="str">
        <f>$C$3</f>
        <v>( Remove previous test result )</v>
      </c>
      <c r="D112" s="103"/>
      <c r="E112" s="239" t="s">
        <v>200</v>
      </c>
      <c r="F112" s="239"/>
      <c r="G112" s="239"/>
      <c r="H112" s="66"/>
    </row>
    <row r="113" spans="1:8" ht="75">
      <c r="A113" s="52">
        <f>IF(AND(B113&lt;&gt;"",C113&lt;&gt;"",LEFT(B113,1)&lt;&gt;"#"),MAX($A$2:A112)+1,"")</f>
        <v>53</v>
      </c>
      <c r="B113" s="15" t="s">
        <v>336</v>
      </c>
      <c r="C113" s="11" t="s">
        <v>13</v>
      </c>
      <c r="D113" s="152"/>
      <c r="E113" s="55"/>
      <c r="F113" s="23" t="str">
        <f t="shared" ref="F113" ca="1" si="24">IF(E113&lt;&gt;"",NOW(),"")</f>
        <v/>
      </c>
      <c r="G113" s="70"/>
      <c r="H113" s="67"/>
    </row>
    <row r="114" spans="1:8">
      <c r="A114" s="58"/>
      <c r="B114" s="135" t="str">
        <f>$B$3</f>
        <v>( Add new test case )</v>
      </c>
      <c r="C114" s="148" t="str">
        <f>$C$3</f>
        <v>( Remove previous test result )</v>
      </c>
      <c r="D114" s="103"/>
      <c r="E114" s="239" t="s">
        <v>200</v>
      </c>
      <c r="F114" s="239"/>
      <c r="G114" s="239"/>
      <c r="H114" s="66"/>
    </row>
    <row r="115" spans="1:8">
      <c r="A115" s="52">
        <f>IF(AND(B115&lt;&gt;"",C115&lt;&gt;"",LEFT(B115,1)&lt;&gt;"#"),MAX($A$2:A114)+1,"")</f>
        <v>54</v>
      </c>
      <c r="B115" s="15" t="s">
        <v>337</v>
      </c>
      <c r="C115" s="4" t="s">
        <v>338</v>
      </c>
      <c r="D115" s="152"/>
      <c r="E115" s="55"/>
      <c r="F115" s="23" t="str">
        <f t="shared" ref="F115" ca="1" si="25">IF(E115&lt;&gt;"",NOW(),"")</f>
        <v/>
      </c>
      <c r="G115" s="70"/>
      <c r="H115" s="67"/>
    </row>
    <row r="116" spans="1:8">
      <c r="A116" s="121"/>
      <c r="B116" s="135" t="str">
        <f>$B$3</f>
        <v>( Add new test case )</v>
      </c>
      <c r="C116" s="148" t="str">
        <f>$C$3</f>
        <v>( Remove previous test result )</v>
      </c>
      <c r="D116" s="103"/>
      <c r="E116" s="239" t="s">
        <v>200</v>
      </c>
      <c r="F116" s="239"/>
      <c r="G116" s="239"/>
      <c r="H116" s="83"/>
    </row>
    <row r="117" spans="1:8" ht="15.75">
      <c r="A117" s="124" t="str">
        <f>IF(AND(B117&lt;&gt;"",C117&lt;&gt;"",LEFT(B117,1)&lt;&gt;"#"),MAX(#REF!)+1,"")</f>
        <v/>
      </c>
      <c r="B117" s="149" t="s">
        <v>339</v>
      </c>
      <c r="C117" s="125"/>
      <c r="D117" s="126"/>
      <c r="E117" s="127"/>
      <c r="F117" s="128"/>
      <c r="G117" s="128"/>
      <c r="H117" s="130"/>
    </row>
    <row r="118" spans="1:8" ht="60">
      <c r="A118" s="52">
        <f>IF(AND(B118&lt;&gt;"",C118&lt;&gt;"",LEFT(B118,1)&lt;&gt;"#"),MAX($A$2:A116)+1,"")</f>
        <v>55</v>
      </c>
      <c r="B118" s="14" t="s">
        <v>340</v>
      </c>
      <c r="C118" s="10" t="s">
        <v>341</v>
      </c>
      <c r="D118" s="51"/>
      <c r="E118" s="56"/>
      <c r="F118" s="26" t="str">
        <f t="shared" ref="F118" ca="1" si="26">IF(E118&lt;&gt;"",NOW(),"")</f>
        <v/>
      </c>
      <c r="G118" s="69"/>
      <c r="H118" s="65"/>
    </row>
    <row r="119" spans="1:8">
      <c r="A119" s="58"/>
      <c r="B119" s="135" t="str">
        <f>$B$3</f>
        <v>( Add new test case )</v>
      </c>
      <c r="C119" s="148" t="str">
        <f>$C$3</f>
        <v>( Remove previous test result )</v>
      </c>
      <c r="D119" s="103"/>
      <c r="E119" s="239" t="s">
        <v>200</v>
      </c>
      <c r="F119" s="239"/>
      <c r="G119" s="239"/>
      <c r="H119" s="66"/>
    </row>
    <row r="120" spans="1:8">
      <c r="A120" s="52">
        <f>IF(AND(B120&lt;&gt;"",C120&lt;&gt;"",LEFT(B120,1)&lt;&gt;"#"),MAX($A$2:A119)+1,"")</f>
        <v>56</v>
      </c>
      <c r="B120" s="15" t="s">
        <v>342</v>
      </c>
      <c r="C120" s="4" t="s">
        <v>343</v>
      </c>
      <c r="D120" s="152"/>
      <c r="E120" s="55"/>
      <c r="F120" s="23" t="str">
        <f t="shared" ref="F120" ca="1" si="27">IF(E120&lt;&gt;"",NOW(),"")</f>
        <v/>
      </c>
      <c r="G120" s="70"/>
      <c r="H120" s="67"/>
    </row>
    <row r="121" spans="1:8">
      <c r="A121" s="58"/>
      <c r="B121" s="135" t="str">
        <f>$B$3</f>
        <v>( Add new test case )</v>
      </c>
      <c r="C121" s="148" t="str">
        <f>$C$3</f>
        <v>( Remove previous test result )</v>
      </c>
      <c r="D121" s="103"/>
      <c r="E121" s="239" t="s">
        <v>200</v>
      </c>
      <c r="F121" s="239"/>
      <c r="G121" s="239"/>
      <c r="H121" s="66"/>
    </row>
    <row r="122" spans="1:8" ht="30">
      <c r="A122" s="52">
        <f>IF(AND(B122&lt;&gt;"",C122&lt;&gt;"",LEFT(B122,1)&lt;&gt;"#"),MAX($A$2:A121)+1,"")</f>
        <v>57</v>
      </c>
      <c r="B122" s="15" t="s">
        <v>344</v>
      </c>
      <c r="C122" s="4" t="s">
        <v>345</v>
      </c>
      <c r="D122" s="152"/>
      <c r="E122" s="55"/>
      <c r="F122" s="23"/>
      <c r="G122" s="70"/>
      <c r="H122" s="67"/>
    </row>
    <row r="123" spans="1:8">
      <c r="A123" s="121"/>
      <c r="B123" s="135" t="str">
        <f>$B$3</f>
        <v>( Add new test case )</v>
      </c>
      <c r="C123" s="148" t="str">
        <f>$C$3</f>
        <v>( Remove previous test result )</v>
      </c>
      <c r="D123" s="103"/>
      <c r="E123" s="239" t="s">
        <v>200</v>
      </c>
      <c r="F123" s="239"/>
      <c r="G123" s="239"/>
      <c r="H123" s="83"/>
    </row>
    <row r="124" spans="1:8" ht="15.75">
      <c r="A124" s="124" t="str">
        <f>IF(AND(B124&lt;&gt;"",C124&lt;&gt;"",LEFT(B124,1)&lt;&gt;"#"),MAX(#REF!)+1,"")</f>
        <v/>
      </c>
      <c r="B124" s="149" t="s">
        <v>339</v>
      </c>
      <c r="C124" s="125"/>
      <c r="D124" s="126"/>
      <c r="E124" s="127"/>
      <c r="F124" s="128"/>
      <c r="G124" s="128"/>
      <c r="H124" s="130"/>
    </row>
    <row r="125" spans="1:8" ht="30">
      <c r="A125" s="52">
        <f>IF(AND(B125&lt;&gt;"",C125&lt;&gt;"",LEFT(B125,1)&lt;&gt;"#"),MAX($A$2:A123)+1,"")</f>
        <v>58</v>
      </c>
      <c r="B125" s="14" t="s">
        <v>346</v>
      </c>
      <c r="C125" s="10" t="s">
        <v>347</v>
      </c>
      <c r="D125" s="51"/>
      <c r="E125" s="56"/>
      <c r="F125" s="26"/>
      <c r="G125" s="69"/>
      <c r="H125" s="65"/>
    </row>
    <row r="126" spans="1:8">
      <c r="A126" s="58"/>
      <c r="B126" s="135" t="str">
        <f>$B$3</f>
        <v>( Add new test case )</v>
      </c>
      <c r="C126" s="148" t="str">
        <f>$C$3</f>
        <v>( Remove previous test result )</v>
      </c>
      <c r="D126" s="103"/>
      <c r="E126" s="239" t="s">
        <v>200</v>
      </c>
      <c r="F126" s="239"/>
      <c r="G126" s="239"/>
      <c r="H126" s="66"/>
    </row>
    <row r="127" spans="1:8">
      <c r="A127" s="52">
        <f>IF(AND(B127&lt;&gt;"",C127&lt;&gt;"",LEFT(B127,1)&lt;&gt;"#"),MAX($A$2:A125)+1,"")</f>
        <v>59</v>
      </c>
      <c r="B127" s="14" t="s">
        <v>348</v>
      </c>
      <c r="C127" s="22" t="s">
        <v>349</v>
      </c>
      <c r="D127" s="152"/>
      <c r="E127" s="55"/>
      <c r="F127" s="23"/>
      <c r="G127" s="70"/>
      <c r="H127" s="67"/>
    </row>
    <row r="128" spans="1:8">
      <c r="A128" s="121"/>
      <c r="B128" s="135" t="str">
        <f>$B$3</f>
        <v>( Add new test case )</v>
      </c>
      <c r="C128" s="148" t="str">
        <f>$C$3</f>
        <v>( Remove previous test result )</v>
      </c>
      <c r="D128" s="103"/>
      <c r="E128" s="239" t="s">
        <v>200</v>
      </c>
      <c r="F128" s="239"/>
      <c r="G128" s="239"/>
      <c r="H128" s="83"/>
    </row>
    <row r="129" spans="1:8" ht="15.75">
      <c r="A129" s="124" t="str">
        <f>IF(AND(B129&lt;&gt;"",C129&lt;&gt;"",LEFT(B129,1)&lt;&gt;"#"),MAX(#REF!)+1,"")</f>
        <v/>
      </c>
      <c r="B129" s="149" t="s">
        <v>68</v>
      </c>
      <c r="C129" s="125"/>
      <c r="D129" s="126"/>
      <c r="E129" s="127"/>
      <c r="F129" s="128"/>
      <c r="G129" s="128"/>
      <c r="H129" s="130"/>
    </row>
    <row r="130" spans="1:8" ht="30">
      <c r="A130" s="52">
        <f>IF(AND(B130&lt;&gt;"",C130&lt;&gt;"",LEFT(B130,1)&lt;&gt;"#"),MAX($A$2:A128)+1,"")</f>
        <v>60</v>
      </c>
      <c r="B130" s="14" t="s">
        <v>52</v>
      </c>
      <c r="C130" s="10" t="s">
        <v>25</v>
      </c>
      <c r="D130" s="51"/>
      <c r="E130" s="56"/>
      <c r="F130" s="26" t="str">
        <f t="shared" ref="F130" ca="1" si="28">IF(E130&lt;&gt;"",NOW(),"")</f>
        <v/>
      </c>
      <c r="G130" s="69"/>
      <c r="H130" s="65"/>
    </row>
    <row r="131" spans="1:8">
      <c r="A131" s="58"/>
      <c r="B131" s="135" t="str">
        <f>$B$3</f>
        <v>( Add new test case )</v>
      </c>
      <c r="C131" s="148" t="str">
        <f>$C$3</f>
        <v>( Remove previous test result )</v>
      </c>
      <c r="D131" s="103"/>
      <c r="E131" s="239" t="s">
        <v>200</v>
      </c>
      <c r="F131" s="239"/>
      <c r="G131" s="239"/>
      <c r="H131" s="66"/>
    </row>
    <row r="132" spans="1:8" ht="30">
      <c r="A132" s="52">
        <f>IF(AND(B132&lt;&gt;"",C132&lt;&gt;"",LEFT(B132,1)&lt;&gt;"#"),MAX($A$2:A131)+1,"")</f>
        <v>61</v>
      </c>
      <c r="B132" s="15" t="s">
        <v>53</v>
      </c>
      <c r="C132" s="4" t="s">
        <v>20</v>
      </c>
      <c r="D132" s="152"/>
      <c r="E132" s="55"/>
      <c r="F132" s="23" t="str">
        <f t="shared" ref="F132" ca="1" si="29">IF(E132&lt;&gt;"",NOW(),"")</f>
        <v/>
      </c>
      <c r="G132" s="70"/>
      <c r="H132" s="67"/>
    </row>
    <row r="133" spans="1:8">
      <c r="A133" s="58"/>
      <c r="B133" s="135" t="str">
        <f>$B$3</f>
        <v>( Add new test case )</v>
      </c>
      <c r="C133" s="148" t="str">
        <f>$C$3</f>
        <v>( Remove previous test result )</v>
      </c>
      <c r="D133" s="103"/>
      <c r="E133" s="239" t="s">
        <v>200</v>
      </c>
      <c r="F133" s="239"/>
      <c r="G133" s="239"/>
      <c r="H133" s="66"/>
    </row>
    <row r="134" spans="1:8" ht="45">
      <c r="A134" s="52">
        <f>IF(AND(B134&lt;&gt;"",C134&lt;&gt;"",LEFT(B134,1)&lt;&gt;"#"),MAX($A$2:A133)+1,"")</f>
        <v>62</v>
      </c>
      <c r="B134" s="15" t="s">
        <v>54</v>
      </c>
      <c r="C134" s="4" t="s">
        <v>21</v>
      </c>
      <c r="D134" s="152"/>
      <c r="E134" s="55"/>
      <c r="F134" s="23" t="str">
        <f t="shared" ref="F134" ca="1" si="30">IF(E134&lt;&gt;"",NOW(),"")</f>
        <v/>
      </c>
      <c r="G134" s="70"/>
      <c r="H134" s="81" t="s">
        <v>230</v>
      </c>
    </row>
    <row r="135" spans="1:8">
      <c r="A135" s="58"/>
      <c r="B135" s="135" t="str">
        <f>$B$3</f>
        <v>( Add new test case )</v>
      </c>
      <c r="C135" s="148" t="str">
        <f>$C$3</f>
        <v>( Remove previous test result )</v>
      </c>
      <c r="D135" s="103"/>
      <c r="E135" s="239" t="s">
        <v>200</v>
      </c>
      <c r="F135" s="239"/>
      <c r="G135" s="239"/>
      <c r="H135" s="66"/>
    </row>
    <row r="136" spans="1:8" ht="60">
      <c r="A136" s="52">
        <f>IF(AND(B136&lt;&gt;"",C136&lt;&gt;"",LEFT(B136,1)&lt;&gt;"#"),MAX($A$2:A135)+1,"")</f>
        <v>63</v>
      </c>
      <c r="B136" s="15" t="s">
        <v>55</v>
      </c>
      <c r="C136" s="4" t="s">
        <v>63</v>
      </c>
      <c r="D136" s="152"/>
      <c r="E136" s="55"/>
      <c r="F136" s="23" t="str">
        <f t="shared" ref="F136" ca="1" si="31">IF(E136&lt;&gt;"",NOW(),"")</f>
        <v/>
      </c>
      <c r="G136" s="70"/>
      <c r="H136" s="67"/>
    </row>
    <row r="137" spans="1:8">
      <c r="A137" s="58"/>
      <c r="B137" s="135" t="str">
        <f>$B$3</f>
        <v>( Add new test case )</v>
      </c>
      <c r="C137" s="148" t="str">
        <f>$C$3</f>
        <v>( Remove previous test result )</v>
      </c>
      <c r="D137" s="103"/>
      <c r="E137" s="239" t="s">
        <v>200</v>
      </c>
      <c r="F137" s="239"/>
      <c r="G137" s="239"/>
      <c r="H137" s="66"/>
    </row>
    <row r="138" spans="1:8">
      <c r="A138" s="52">
        <f>IF(AND(B138&lt;&gt;"",C138&lt;&gt;"",LEFT(B138,1)&lt;&gt;"#"),MAX($A$2:A137)+1,"")</f>
        <v>64</v>
      </c>
      <c r="B138" s="14" t="s">
        <v>350</v>
      </c>
      <c r="C138" s="22" t="s">
        <v>316</v>
      </c>
      <c r="D138" s="152"/>
      <c r="E138" s="55"/>
      <c r="F138" s="23"/>
      <c r="G138" s="70"/>
      <c r="H138" s="80" t="s">
        <v>351</v>
      </c>
    </row>
    <row r="139" spans="1:8">
      <c r="A139" s="121"/>
      <c r="B139" s="135" t="str">
        <f>$B$3</f>
        <v>( Add new test case )</v>
      </c>
      <c r="C139" s="148" t="str">
        <f>$C$3</f>
        <v>( Remove previous test result )</v>
      </c>
      <c r="D139" s="103"/>
      <c r="E139" s="239" t="s">
        <v>200</v>
      </c>
      <c r="F139" s="239"/>
      <c r="G139" s="239"/>
      <c r="H139" s="83"/>
    </row>
    <row r="140" spans="1:8" ht="15.75">
      <c r="A140" s="124" t="str">
        <f>IF(AND(B140&lt;&gt;"",C140&lt;&gt;"",LEFT(B140,1)&lt;&gt;"#"),MAX($A$2:A27)+1,"")</f>
        <v/>
      </c>
      <c r="B140" s="150" t="s">
        <v>467</v>
      </c>
      <c r="C140" s="125"/>
      <c r="D140" s="126"/>
      <c r="E140" s="127"/>
      <c r="F140" s="128"/>
      <c r="G140" s="128"/>
      <c r="H140" s="130"/>
    </row>
    <row r="141" spans="1:8" ht="30">
      <c r="A141" s="53" t="str">
        <f>IF(AND(B141&lt;&gt;"",C141&lt;&gt;"",LEFT(B141,1)&lt;&gt;"#"),MAX($A$2:A140)+1,"")</f>
        <v/>
      </c>
      <c r="B141" s="14" t="s">
        <v>65</v>
      </c>
      <c r="C141" s="14" t="s">
        <v>32</v>
      </c>
      <c r="D141" s="51"/>
      <c r="E141" s="56"/>
      <c r="F141" s="26" t="str">
        <f t="shared" ref="F141" ca="1" si="32">IF(E141&lt;&gt;"",NOW(),"")</f>
        <v/>
      </c>
      <c r="G141" s="69"/>
      <c r="H141" s="68"/>
    </row>
    <row r="142" spans="1:8">
      <c r="A142" s="121"/>
      <c r="B142" s="135" t="str">
        <f>$B$3</f>
        <v>( Add new test case )</v>
      </c>
      <c r="C142" s="148" t="str">
        <f>$C$3</f>
        <v>( Remove previous test result )</v>
      </c>
      <c r="D142" s="103"/>
      <c r="E142" s="239" t="s">
        <v>200</v>
      </c>
      <c r="F142" s="239"/>
      <c r="G142" s="239"/>
      <c r="H142" s="83"/>
    </row>
    <row r="143" spans="1:8" ht="15.75">
      <c r="A143" s="124" t="str">
        <f>IF(AND(B143&lt;&gt;"",C143&lt;&gt;"",LEFT(B143,1)&lt;&gt;"#"),MAX($A$2:A142)+1,"")</f>
        <v/>
      </c>
      <c r="B143" s="149" t="s">
        <v>69</v>
      </c>
      <c r="C143" s="125"/>
      <c r="D143" s="126"/>
      <c r="E143" s="127"/>
      <c r="F143" s="128"/>
      <c r="G143" s="128"/>
      <c r="H143" s="130"/>
    </row>
    <row r="144" spans="1:8" ht="30">
      <c r="A144" s="53" t="str">
        <f>IF(AND(B144&lt;&gt;"",C144&lt;&gt;"",LEFT(B144,1)&lt;&gt;"#"),MAX($A$2:A143)+1,"")</f>
        <v/>
      </c>
      <c r="B144" s="14" t="s">
        <v>65</v>
      </c>
      <c r="C144" s="14" t="s">
        <v>32</v>
      </c>
      <c r="D144" s="51"/>
      <c r="E144" s="56"/>
      <c r="F144" s="26"/>
      <c r="G144" s="69"/>
      <c r="H144" s="68"/>
    </row>
    <row r="145" spans="1:8">
      <c r="A145" s="58"/>
      <c r="B145" s="135" t="str">
        <f>$B$3</f>
        <v>( Add new test case )</v>
      </c>
      <c r="C145" s="148" t="str">
        <f>$C$3</f>
        <v>( Remove previous test result )</v>
      </c>
      <c r="D145" s="103"/>
      <c r="E145" s="239" t="s">
        <v>200</v>
      </c>
      <c r="F145" s="239"/>
      <c r="G145" s="239"/>
      <c r="H145" s="66"/>
    </row>
  </sheetData>
  <sheetProtection password="88A1" sheet="1" objects="1" scenarios="1" selectLockedCells="1" sort="0" autoFilter="0"/>
  <protectedRanges>
    <protectedRange password="DDDF" sqref="B2:XFD2 A3:XFD1048576 A1:XFD1"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2">
    <dataValidation type="list" allowBlank="1" showInputMessage="1" showErrorMessage="1" sqref="G141 G144 G22 G26 G24 G9 G11 G13 G15 G20 G17 G28 G5 G7 G37 G35 G32 G30 G39 G45 G49 G47 G43 G41 G51 G57 G62 G60 G55 G53 G64 G77 G81 G79 G70 G75 G73 G83 G66 G68 G89 G93 G91 G87 G85 G95 G97 G103 G107 G105 G101 G99 G109 G115 G120 G118 G113 G111 G122 G125 G132 G136 G134 G130 G127 G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c r="A1" s="231" t="str">
        <f ca="1">MID(CELL("filename",A1),FIND("]",CELL("filename",A1))+1,255)</f>
        <v>TestingDetail-clss-base</v>
      </c>
      <c r="B1" s="231"/>
      <c r="C1" s="226" t="str">
        <f>ProjectSummary!$D$1</f>
        <v xml:space="preserve"> -  /</v>
      </c>
      <c r="D1" s="226"/>
      <c r="E1" s="226"/>
      <c r="F1" s="226"/>
      <c r="G1" s="201"/>
      <c r="H1" s="202"/>
      <c r="I1" s="203"/>
    </row>
    <row r="2" spans="1:9" s="77" customFormat="1" ht="33" thickTop="1" thickBot="1">
      <c r="A2" s="238" t="s">
        <v>483</v>
      </c>
      <c r="B2" s="204" t="s">
        <v>124</v>
      </c>
      <c r="C2" s="205" t="s">
        <v>0</v>
      </c>
      <c r="D2" s="206" t="s">
        <v>62</v>
      </c>
      <c r="E2" s="206" t="s">
        <v>61</v>
      </c>
      <c r="F2" s="207" t="s">
        <v>58</v>
      </c>
      <c r="G2" s="208" t="s">
        <v>196</v>
      </c>
      <c r="H2" s="209" t="s">
        <v>197</v>
      </c>
      <c r="I2" s="210" t="s">
        <v>60</v>
      </c>
    </row>
    <row r="3" spans="1:9" s="25" customFormat="1" ht="19.5" hidden="1" customHeight="1" thickTop="1">
      <c r="A3" s="71"/>
      <c r="B3" s="122" t="s">
        <v>201</v>
      </c>
      <c r="C3" s="140" t="s">
        <v>199</v>
      </c>
      <c r="D3" s="100"/>
      <c r="E3" s="240" t="s">
        <v>200</v>
      </c>
      <c r="F3" s="240"/>
      <c r="G3" s="240"/>
      <c r="H3" s="101"/>
      <c r="I3" s="72"/>
    </row>
    <row r="4" spans="1:9" s="73" customFormat="1" ht="16.5" thickTop="1">
      <c r="A4" s="191"/>
      <c r="B4" s="192" t="s">
        <v>66</v>
      </c>
      <c r="C4" s="193"/>
      <c r="D4" s="194"/>
      <c r="E4" s="195"/>
      <c r="F4" s="196"/>
      <c r="G4" s="196"/>
      <c r="H4" s="197"/>
      <c r="I4" s="198"/>
    </row>
    <row r="5" spans="1:9" ht="30">
      <c r="A5" s="52">
        <f>IF(AND(B5&lt;&gt;"",C5&lt;&gt;"",LEFT(B5,1)&lt;&gt;"#"),MAX($A$2:A4)+1,"")</f>
        <v>1</v>
      </c>
      <c r="B5" s="14" t="s">
        <v>1</v>
      </c>
      <c r="C5" s="10" t="s">
        <v>2</v>
      </c>
      <c r="D5" s="51"/>
      <c r="E5" s="56"/>
      <c r="F5" s="26"/>
      <c r="G5" s="69"/>
      <c r="H5" s="74"/>
      <c r="I5" s="65"/>
    </row>
    <row r="6" spans="1:9">
      <c r="A6" s="58"/>
      <c r="B6" s="102" t="str">
        <f>$B$3</f>
        <v>( Add new test case )</v>
      </c>
      <c r="C6" s="105" t="str">
        <f>$C$3</f>
        <v>( Remove previous test result )</v>
      </c>
      <c r="D6" s="100"/>
      <c r="E6" s="239" t="s">
        <v>200</v>
      </c>
      <c r="F6" s="239"/>
      <c r="G6" s="239"/>
      <c r="H6" s="183"/>
      <c r="I6" s="66"/>
    </row>
    <row r="7" spans="1:9">
      <c r="A7" s="52">
        <f>IF(AND(B7&lt;&gt;"",C7&lt;&gt;"",LEFT(B7,1)&lt;&gt;"#"),MAX($A$2:A6)+1,"")</f>
        <v>2</v>
      </c>
      <c r="B7" s="14" t="s">
        <v>352</v>
      </c>
      <c r="C7" s="10" t="s">
        <v>353</v>
      </c>
      <c r="D7" s="151"/>
      <c r="E7" s="56"/>
      <c r="F7" s="26"/>
      <c r="G7" s="69"/>
      <c r="H7" s="74"/>
      <c r="I7" s="67"/>
    </row>
    <row r="8" spans="1:9">
      <c r="A8" s="58"/>
      <c r="B8" s="102" t="str">
        <f>$B$3</f>
        <v>( Add new test case )</v>
      </c>
      <c r="C8" s="105" t="str">
        <f>$C$3</f>
        <v>( Remove previous test result )</v>
      </c>
      <c r="D8" s="100"/>
      <c r="E8" s="239" t="s">
        <v>200</v>
      </c>
      <c r="F8" s="239"/>
      <c r="G8" s="239"/>
      <c r="H8" s="183"/>
      <c r="I8" s="66"/>
    </row>
    <row r="9" spans="1:9">
      <c r="A9" s="52">
        <f>IF(AND(B9&lt;&gt;"",C9&lt;&gt;"",LEFT(B9,1)&lt;&gt;"#"),MAX($A$2:A8)+1,"")</f>
        <v>3</v>
      </c>
      <c r="B9" s="15" t="s">
        <v>354</v>
      </c>
      <c r="C9" s="4" t="s">
        <v>355</v>
      </c>
      <c r="D9" s="151"/>
      <c r="E9" s="55"/>
      <c r="F9" s="23"/>
      <c r="G9" s="70"/>
      <c r="H9" s="75"/>
      <c r="I9" s="67"/>
    </row>
    <row r="10" spans="1:9">
      <c r="A10" s="58"/>
      <c r="B10" s="102" t="str">
        <f>$B$3</f>
        <v>( Add new test case )</v>
      </c>
      <c r="C10" s="105" t="str">
        <f>$C$3</f>
        <v>( Remove previous test result )</v>
      </c>
      <c r="D10" s="100"/>
      <c r="E10" s="239" t="s">
        <v>200</v>
      </c>
      <c r="F10" s="239"/>
      <c r="G10" s="239"/>
      <c r="H10" s="183"/>
      <c r="I10" s="66"/>
    </row>
    <row r="11" spans="1:9">
      <c r="A11" s="52">
        <f>IF(AND(B11&lt;&gt;"",C11&lt;&gt;"",LEFT(B11,1)&lt;&gt;"#"),MAX($A$2:A10)+1,"")</f>
        <v>4</v>
      </c>
      <c r="B11" s="15" t="s">
        <v>356</v>
      </c>
      <c r="C11" s="4" t="s">
        <v>357</v>
      </c>
      <c r="D11" s="151"/>
      <c r="E11" s="55"/>
      <c r="F11" s="23"/>
      <c r="G11" s="70"/>
      <c r="H11" s="75"/>
      <c r="I11" s="67"/>
    </row>
    <row r="12" spans="1:9">
      <c r="A12" s="58"/>
      <c r="B12" s="102" t="str">
        <f>$B$3</f>
        <v>( Add new test case )</v>
      </c>
      <c r="C12" s="105" t="str">
        <f>$C$3</f>
        <v>( Remove previous test result )</v>
      </c>
      <c r="D12" s="100"/>
      <c r="E12" s="239" t="s">
        <v>200</v>
      </c>
      <c r="F12" s="239"/>
      <c r="G12" s="239"/>
      <c r="H12" s="183"/>
      <c r="I12" s="66"/>
    </row>
    <row r="13" spans="1:9">
      <c r="A13" s="52">
        <f>IF(AND(B13&lt;&gt;"",C13&lt;&gt;"",LEFT(B13,1)&lt;&gt;"#"),MAX($A$2:A12)+1,"")</f>
        <v>5</v>
      </c>
      <c r="B13" s="15" t="s">
        <v>358</v>
      </c>
      <c r="C13" s="4" t="s">
        <v>359</v>
      </c>
      <c r="D13" s="151"/>
      <c r="E13" s="55"/>
      <c r="F13" s="23"/>
      <c r="G13" s="70"/>
      <c r="H13" s="75"/>
      <c r="I13" s="67"/>
    </row>
    <row r="14" spans="1:9">
      <c r="A14" s="58"/>
      <c r="B14" s="102" t="str">
        <f>$B$3</f>
        <v>( Add new test case )</v>
      </c>
      <c r="C14" s="105" t="str">
        <f>$C$3</f>
        <v>( Remove previous test result )</v>
      </c>
      <c r="D14" s="100"/>
      <c r="E14" s="239" t="s">
        <v>200</v>
      </c>
      <c r="F14" s="239"/>
      <c r="G14" s="239"/>
      <c r="H14" s="183"/>
      <c r="I14" s="66"/>
    </row>
    <row r="15" spans="1:9" ht="30">
      <c r="A15" s="52">
        <f>IF(AND(B15&lt;&gt;"",C15&lt;&gt;"",LEFT(B15,1)&lt;&gt;"#"),MAX($A$2:A14)+1,"")</f>
        <v>6</v>
      </c>
      <c r="B15" s="15" t="s">
        <v>360</v>
      </c>
      <c r="C15" s="4" t="s">
        <v>361</v>
      </c>
      <c r="D15" s="151"/>
      <c r="E15" s="55"/>
      <c r="F15" s="23" t="str">
        <f t="shared" ref="F15:F25" ca="1" si="0">IF(E15&lt;&gt;"",NOW(),"")</f>
        <v/>
      </c>
      <c r="G15" s="70"/>
      <c r="H15" s="75"/>
      <c r="I15" s="67"/>
    </row>
    <row r="16" spans="1:9">
      <c r="A16" s="58"/>
      <c r="B16" s="102" t="str">
        <f>$B$3</f>
        <v>( Add new test case )</v>
      </c>
      <c r="C16" s="105" t="str">
        <f>$C$3</f>
        <v>( Remove previous test result )</v>
      </c>
      <c r="D16" s="100"/>
      <c r="E16" s="239" t="s">
        <v>200</v>
      </c>
      <c r="F16" s="239"/>
      <c r="G16" s="239"/>
      <c r="H16" s="183"/>
      <c r="I16" s="66"/>
    </row>
    <row r="17" spans="1:9" ht="30">
      <c r="A17" s="52">
        <f>IF(AND(B17&lt;&gt;"",C17&lt;&gt;"",LEFT(B17,1)&lt;&gt;"#"),MAX($A$2:A16)+1,"")</f>
        <v>7</v>
      </c>
      <c r="B17" s="15" t="s">
        <v>362</v>
      </c>
      <c r="C17" s="4" t="s">
        <v>363</v>
      </c>
      <c r="D17" s="151"/>
      <c r="E17" s="55"/>
      <c r="F17" s="23"/>
      <c r="G17" s="70"/>
      <c r="H17" s="75"/>
      <c r="I17" s="67"/>
    </row>
    <row r="18" spans="1:9">
      <c r="A18" s="58"/>
      <c r="B18" s="102" t="str">
        <f>$B$3</f>
        <v>( Add new test case )</v>
      </c>
      <c r="C18" s="105" t="str">
        <f>$C$3</f>
        <v>( Remove previous test result )</v>
      </c>
      <c r="D18" s="100"/>
      <c r="E18" s="239" t="s">
        <v>200</v>
      </c>
      <c r="F18" s="239"/>
      <c r="G18" s="239"/>
      <c r="H18" s="183"/>
      <c r="I18" s="66"/>
    </row>
    <row r="19" spans="1:9">
      <c r="A19" s="52">
        <f>IF(AND(B19&lt;&gt;"",C19&lt;&gt;"",LEFT(B19,1)&lt;&gt;"#"),MAX($A$2:A18)+1,"")</f>
        <v>8</v>
      </c>
      <c r="B19" s="15" t="s">
        <v>364</v>
      </c>
      <c r="C19" s="4" t="s">
        <v>365</v>
      </c>
      <c r="D19" s="151"/>
      <c r="E19" s="55"/>
      <c r="F19" s="23" t="str">
        <f t="shared" ca="1" si="0"/>
        <v/>
      </c>
      <c r="G19" s="70"/>
      <c r="H19" s="75"/>
      <c r="I19" s="67"/>
    </row>
    <row r="20" spans="1:9">
      <c r="A20" s="58"/>
      <c r="B20" s="102" t="str">
        <f>$B$3</f>
        <v>( Add new test case )</v>
      </c>
      <c r="C20" s="105" t="str">
        <f>$C$3</f>
        <v>( Remove previous test result )</v>
      </c>
      <c r="D20" s="100"/>
      <c r="E20" s="239" t="s">
        <v>200</v>
      </c>
      <c r="F20" s="239"/>
      <c r="G20" s="239"/>
      <c r="H20" s="183"/>
      <c r="I20" s="66"/>
    </row>
    <row r="21" spans="1:9">
      <c r="A21" s="52">
        <f>IF(AND(B21&lt;&gt;"",C21&lt;&gt;"",LEFT(B21,1)&lt;&gt;"#"),MAX($A$2:A20)+1,"")</f>
        <v>9</v>
      </c>
      <c r="B21" s="15" t="s">
        <v>366</v>
      </c>
      <c r="C21" s="4" t="s">
        <v>367</v>
      </c>
      <c r="D21" s="151"/>
      <c r="E21" s="55"/>
      <c r="F21" s="23" t="str">
        <f t="shared" ca="1" si="0"/>
        <v/>
      </c>
      <c r="G21" s="70"/>
      <c r="H21" s="75"/>
      <c r="I21" s="67"/>
    </row>
    <row r="22" spans="1:9">
      <c r="A22" s="58"/>
      <c r="B22" s="102" t="str">
        <f>$B$3</f>
        <v>( Add new test case )</v>
      </c>
      <c r="C22" s="105" t="str">
        <f>$C$3</f>
        <v>( Remove previous test result )</v>
      </c>
      <c r="D22" s="100"/>
      <c r="E22" s="239" t="s">
        <v>200</v>
      </c>
      <c r="F22" s="239"/>
      <c r="G22" s="239"/>
      <c r="H22" s="183"/>
      <c r="I22" s="66"/>
    </row>
    <row r="23" spans="1:9">
      <c r="A23" s="52">
        <f>IF(AND(B23&lt;&gt;"",C23&lt;&gt;"",LEFT(B23,1)&lt;&gt;"#"),MAX($A$2:A22)+1,"")</f>
        <v>10</v>
      </c>
      <c r="B23" s="15" t="s">
        <v>366</v>
      </c>
      <c r="C23" s="4" t="s">
        <v>367</v>
      </c>
      <c r="D23" s="151"/>
      <c r="E23" s="55"/>
      <c r="F23" s="23" t="str">
        <f t="shared" ca="1" si="0"/>
        <v/>
      </c>
      <c r="G23" s="70"/>
      <c r="H23" s="75"/>
      <c r="I23" s="67"/>
    </row>
    <row r="24" spans="1:9">
      <c r="A24" s="58"/>
      <c r="B24" s="102" t="str">
        <f>$B$3</f>
        <v>( Add new test case )</v>
      </c>
      <c r="C24" s="105" t="str">
        <f>$C$3</f>
        <v>( Remove previous test result )</v>
      </c>
      <c r="D24" s="100"/>
      <c r="E24" s="239" t="s">
        <v>200</v>
      </c>
      <c r="F24" s="239"/>
      <c r="G24" s="239"/>
      <c r="H24" s="183"/>
      <c r="I24" s="66"/>
    </row>
    <row r="25" spans="1:9">
      <c r="A25" s="52">
        <f>IF(AND(B25&lt;&gt;"",C25&lt;&gt;"",LEFT(B25,1)&lt;&gt;"#"),MAX($A$2:A24)+1,"")</f>
        <v>11</v>
      </c>
      <c r="B25" s="15" t="s">
        <v>368</v>
      </c>
      <c r="C25" s="4" t="s">
        <v>369</v>
      </c>
      <c r="D25" s="151"/>
      <c r="E25" s="55"/>
      <c r="F25" s="23" t="str">
        <f t="shared" ca="1" si="0"/>
        <v/>
      </c>
      <c r="G25" s="70"/>
      <c r="H25" s="75"/>
      <c r="I25" s="67"/>
    </row>
    <row r="26" spans="1:9">
      <c r="A26" s="58"/>
      <c r="B26" s="102" t="str">
        <f>$B$3</f>
        <v>( Add new test case )</v>
      </c>
      <c r="C26" s="105" t="str">
        <f>$C$3</f>
        <v>( Remove previous test result )</v>
      </c>
      <c r="D26" s="100"/>
      <c r="E26" s="239" t="s">
        <v>200</v>
      </c>
      <c r="F26" s="239"/>
      <c r="G26" s="239"/>
      <c r="H26" s="183"/>
      <c r="I26" s="66"/>
    </row>
    <row r="27" spans="1:9" ht="30">
      <c r="A27" s="52">
        <f>IF(AND(B27&lt;&gt;"",C27&lt;&gt;"",LEFT(B27,1)&lt;&gt;"#"),MAX($A$2:A26)+1,"")</f>
        <v>12</v>
      </c>
      <c r="B27" s="15" t="s">
        <v>370</v>
      </c>
      <c r="C27" s="4" t="s">
        <v>371</v>
      </c>
      <c r="D27" s="151"/>
      <c r="E27" s="55"/>
      <c r="F27" s="23"/>
      <c r="G27" s="70"/>
      <c r="H27" s="75"/>
      <c r="I27" s="67"/>
    </row>
    <row r="28" spans="1:9">
      <c r="A28" s="58"/>
      <c r="B28" s="102" t="str">
        <f>$B$3</f>
        <v>( Add new test case )</v>
      </c>
      <c r="C28" s="105" t="str">
        <f>$C$3</f>
        <v>( Remove previous test result )</v>
      </c>
      <c r="D28" s="100"/>
      <c r="E28" s="239" t="s">
        <v>200</v>
      </c>
      <c r="F28" s="239"/>
      <c r="G28" s="239"/>
      <c r="H28" s="183"/>
      <c r="I28" s="66"/>
    </row>
    <row r="29" spans="1:9" ht="30">
      <c r="A29" s="52">
        <f>IF(AND(B29&lt;&gt;"",C29&lt;&gt;"",LEFT(B29,1)&lt;&gt;"#"),MAX($A$2:A28)+1,"")</f>
        <v>13</v>
      </c>
      <c r="B29" s="15" t="s">
        <v>372</v>
      </c>
      <c r="C29" s="4" t="s">
        <v>373</v>
      </c>
      <c r="D29" s="151"/>
      <c r="E29" s="55"/>
      <c r="F29" s="23"/>
      <c r="G29" s="70"/>
      <c r="H29" s="75"/>
      <c r="I29" s="67"/>
    </row>
    <row r="30" spans="1:9">
      <c r="A30" s="121"/>
      <c r="B30" s="122" t="str">
        <f>$B$3</f>
        <v>( Add new test case )</v>
      </c>
      <c r="C30" s="140" t="str">
        <f>$C$3</f>
        <v>( Remove previous test result )</v>
      </c>
      <c r="D30" s="100"/>
      <c r="E30" s="240" t="s">
        <v>200</v>
      </c>
      <c r="F30" s="240"/>
      <c r="G30" s="240"/>
      <c r="H30" s="200"/>
      <c r="I30" s="83"/>
    </row>
    <row r="31" spans="1:9" ht="15.75">
      <c r="A31" s="124" t="str">
        <f>IF(AND(B31&lt;&gt;"",C31&lt;&gt;"",LEFT(B31,1)&lt;&gt;"#"),MAX(#REF!)+1,"")</f>
        <v/>
      </c>
      <c r="B31" s="149" t="s">
        <v>374</v>
      </c>
      <c r="C31" s="125"/>
      <c r="D31" s="126"/>
      <c r="E31" s="127"/>
      <c r="F31" s="128"/>
      <c r="G31" s="128"/>
      <c r="H31" s="129"/>
      <c r="I31" s="130"/>
    </row>
    <row r="32" spans="1:9">
      <c r="A32" s="52">
        <f>IF(AND(B32&lt;&gt;"",C32&lt;&gt;"",LEFT(B32,1)&lt;&gt;"#"),MAX($A$2:A30)+1,"")</f>
        <v>14</v>
      </c>
      <c r="B32" s="14" t="s">
        <v>376</v>
      </c>
      <c r="C32" s="10" t="s">
        <v>377</v>
      </c>
      <c r="D32" s="51"/>
      <c r="E32" s="56"/>
      <c r="F32" s="26" t="str">
        <f t="shared" ref="F32" ca="1" si="1">IF(E32&lt;&gt;"",NOW(),"")</f>
        <v/>
      </c>
      <c r="G32" s="69"/>
      <c r="H32" s="74"/>
      <c r="I32" s="65"/>
    </row>
    <row r="33" spans="1:9">
      <c r="A33" s="58"/>
      <c r="B33" s="102" t="str">
        <f>$B$3</f>
        <v>( Add new test case )</v>
      </c>
      <c r="C33" s="105" t="str">
        <f>$C$3</f>
        <v>( Remove previous test result )</v>
      </c>
      <c r="D33" s="182"/>
      <c r="E33" s="239" t="s">
        <v>200</v>
      </c>
      <c r="F33" s="239"/>
      <c r="G33" s="239"/>
      <c r="H33" s="183"/>
      <c r="I33" s="66"/>
    </row>
    <row r="34" spans="1:9">
      <c r="A34" s="52">
        <f>IF(AND(B34&lt;&gt;"",C34&lt;&gt;"",LEFT(B34,1)&lt;&gt;"#"),MAX($A$2:A33)+1,"")</f>
        <v>15</v>
      </c>
      <c r="B34" s="16" t="s">
        <v>378</v>
      </c>
      <c r="C34" s="5" t="s">
        <v>379</v>
      </c>
      <c r="D34" s="51"/>
      <c r="E34" s="55"/>
      <c r="F34" s="23" t="str">
        <f t="shared" ref="F34" ca="1" si="2">IF(E34&lt;&gt;"",NOW(),"")</f>
        <v/>
      </c>
      <c r="G34" s="70"/>
      <c r="H34" s="75"/>
      <c r="I34" s="67"/>
    </row>
    <row r="35" spans="1:9">
      <c r="A35" s="58"/>
      <c r="B35" s="102" t="str">
        <f>$B$3</f>
        <v>( Add new test case )</v>
      </c>
      <c r="C35" s="105" t="str">
        <f>$C$3</f>
        <v>( Remove previous test result )</v>
      </c>
      <c r="D35" s="182"/>
      <c r="E35" s="239" t="s">
        <v>200</v>
      </c>
      <c r="F35" s="239"/>
      <c r="G35" s="239"/>
      <c r="H35" s="183"/>
      <c r="I35" s="66"/>
    </row>
    <row r="36" spans="1:9">
      <c r="A36" s="52">
        <f>IF(AND(B36&lt;&gt;"",C36&lt;&gt;"",LEFT(B36,1)&lt;&gt;"#"),MAX($A$2:A35)+1,"")</f>
        <v>16</v>
      </c>
      <c r="B36" s="17" t="s">
        <v>380</v>
      </c>
      <c r="C36" s="6" t="s">
        <v>381</v>
      </c>
      <c r="D36" s="51"/>
      <c r="E36" s="55"/>
      <c r="F36" s="23" t="str">
        <f t="shared" ref="F36" ca="1" si="3">IF(E36&lt;&gt;"",NOW(),"")</f>
        <v/>
      </c>
      <c r="G36" s="70"/>
      <c r="H36" s="75"/>
      <c r="I36" s="67"/>
    </row>
    <row r="37" spans="1:9">
      <c r="A37" s="58"/>
      <c r="B37" s="102" t="str">
        <f>$B$3</f>
        <v>( Add new test case )</v>
      </c>
      <c r="C37" s="105" t="str">
        <f>$C$3</f>
        <v>( Remove previous test result )</v>
      </c>
      <c r="D37" s="182"/>
      <c r="E37" s="239" t="s">
        <v>200</v>
      </c>
      <c r="F37" s="239"/>
      <c r="G37" s="239"/>
      <c r="H37" s="183"/>
      <c r="I37" s="66"/>
    </row>
    <row r="38" spans="1:9">
      <c r="A38" s="52">
        <f>IF(AND(B38&lt;&gt;"",C38&lt;&gt;"",LEFT(B38,1)&lt;&gt;"#"),MAX($A$2:A37)+1,"")</f>
        <v>17</v>
      </c>
      <c r="B38" s="16" t="s">
        <v>382</v>
      </c>
      <c r="C38" s="5" t="s">
        <v>383</v>
      </c>
      <c r="D38" s="51"/>
      <c r="E38" s="55"/>
      <c r="F38" s="23" t="str">
        <f t="shared" ref="F38" ca="1" si="4">IF(E38&lt;&gt;"",NOW(),"")</f>
        <v/>
      </c>
      <c r="G38" s="70"/>
      <c r="H38" s="75"/>
      <c r="I38" s="67"/>
    </row>
    <row r="39" spans="1:9">
      <c r="A39" s="58"/>
      <c r="B39" s="102" t="str">
        <f>$B$3</f>
        <v>( Add new test case )</v>
      </c>
      <c r="C39" s="105" t="str">
        <f>$C$3</f>
        <v>( Remove previous test result )</v>
      </c>
      <c r="D39" s="182"/>
      <c r="E39" s="239" t="s">
        <v>200</v>
      </c>
      <c r="F39" s="239"/>
      <c r="G39" s="239"/>
      <c r="H39" s="183"/>
      <c r="I39" s="66"/>
    </row>
    <row r="40" spans="1:9">
      <c r="A40" s="52">
        <f>IF(AND(B40&lt;&gt;"",C40&lt;&gt;"",LEFT(B40,1)&lt;&gt;"#"),MAX($A$2:A39)+1,"")</f>
        <v>18</v>
      </c>
      <c r="B40" s="16" t="s">
        <v>384</v>
      </c>
      <c r="C40" s="5" t="s">
        <v>385</v>
      </c>
      <c r="D40" s="51"/>
      <c r="E40" s="55"/>
      <c r="F40" s="23"/>
      <c r="G40" s="70"/>
      <c r="H40" s="75"/>
      <c r="I40" s="67"/>
    </row>
    <row r="41" spans="1:9">
      <c r="A41" s="58"/>
      <c r="B41" s="102" t="str">
        <f>$B$3</f>
        <v>( Add new test case )</v>
      </c>
      <c r="C41" s="105" t="str">
        <f>$C$3</f>
        <v>( Remove previous test result )</v>
      </c>
      <c r="D41" s="182"/>
      <c r="E41" s="239" t="s">
        <v>200</v>
      </c>
      <c r="F41" s="239"/>
      <c r="G41" s="239"/>
      <c r="H41" s="183"/>
      <c r="I41" s="66"/>
    </row>
    <row r="42" spans="1:9">
      <c r="A42" s="52">
        <f>IF(AND(B42&lt;&gt;"",C42&lt;&gt;"",LEFT(B42,1)&lt;&gt;"#"),MAX($A$2:A41)+1,"")</f>
        <v>19</v>
      </c>
      <c r="B42" s="16" t="s">
        <v>386</v>
      </c>
      <c r="C42" s="5" t="s">
        <v>387</v>
      </c>
      <c r="D42" s="51"/>
      <c r="E42" s="55"/>
      <c r="F42" s="23"/>
      <c r="G42" s="70"/>
      <c r="H42" s="75"/>
      <c r="I42" s="67"/>
    </row>
    <row r="43" spans="1:9">
      <c r="A43" s="58"/>
      <c r="B43" s="102" t="str">
        <f>$B$3</f>
        <v>( Add new test case )</v>
      </c>
      <c r="C43" s="105" t="str">
        <f>$C$3</f>
        <v>( Remove previous test result )</v>
      </c>
      <c r="D43" s="182"/>
      <c r="E43" s="239" t="s">
        <v>200</v>
      </c>
      <c r="F43" s="239"/>
      <c r="G43" s="239"/>
      <c r="H43" s="183"/>
      <c r="I43" s="66"/>
    </row>
    <row r="44" spans="1:9">
      <c r="A44" s="52">
        <f>IF(AND(B44&lt;&gt;"",C44&lt;&gt;"",LEFT(B44,1)&lt;&gt;"#"),MAX($A$2:A43)+1,"")</f>
        <v>20</v>
      </c>
      <c r="B44" s="15" t="s">
        <v>388</v>
      </c>
      <c r="C44" s="4" t="s">
        <v>389</v>
      </c>
      <c r="D44" s="51"/>
      <c r="E44" s="55"/>
      <c r="F44" s="23" t="str">
        <f t="shared" ref="F44" ca="1" si="5">IF(E44&lt;&gt;"",NOW(),"")</f>
        <v/>
      </c>
      <c r="G44" s="70"/>
      <c r="H44" s="75"/>
      <c r="I44" s="67"/>
    </row>
    <row r="45" spans="1:9">
      <c r="A45" s="58"/>
      <c r="B45" s="102" t="str">
        <f>$B$3</f>
        <v>( Add new test case )</v>
      </c>
      <c r="C45" s="105" t="str">
        <f>$C$3</f>
        <v>( Remove previous test result )</v>
      </c>
      <c r="D45" s="182"/>
      <c r="E45" s="239" t="s">
        <v>200</v>
      </c>
      <c r="F45" s="239"/>
      <c r="G45" s="239"/>
      <c r="H45" s="183"/>
      <c r="I45" s="66"/>
    </row>
    <row r="46" spans="1:9">
      <c r="A46" s="52">
        <f>IF(AND(B46&lt;&gt;"",C46&lt;&gt;"",LEFT(B46,1)&lt;&gt;"#"),MAX($A$2:A45)+1,"")</f>
        <v>21</v>
      </c>
      <c r="B46" s="15" t="s">
        <v>390</v>
      </c>
      <c r="C46" s="4" t="s">
        <v>389</v>
      </c>
      <c r="D46" s="51"/>
      <c r="E46" s="55"/>
      <c r="F46" s="23"/>
      <c r="G46" s="70"/>
      <c r="H46" s="75"/>
      <c r="I46" s="67"/>
    </row>
    <row r="47" spans="1:9">
      <c r="A47" s="121"/>
      <c r="B47" s="122" t="str">
        <f>$B$3</f>
        <v>( Add new test case )</v>
      </c>
      <c r="C47" s="140" t="str">
        <f>$C$3</f>
        <v>( Remove previous test result )</v>
      </c>
      <c r="D47" s="199"/>
      <c r="E47" s="240" t="s">
        <v>200</v>
      </c>
      <c r="F47" s="240"/>
      <c r="G47" s="240"/>
      <c r="H47" s="200"/>
      <c r="I47" s="83"/>
    </row>
    <row r="48" spans="1:9" ht="15.75">
      <c r="A48" s="124" t="str">
        <f>IF(AND(B48&lt;&gt;"",C48&lt;&gt;"",LEFT(B48,1)&lt;&gt;"#"),MAX(#REF!)+1,"")</f>
        <v/>
      </c>
      <c r="B48" s="149" t="s">
        <v>375</v>
      </c>
      <c r="C48" s="125"/>
      <c r="D48" s="126"/>
      <c r="E48" s="127"/>
      <c r="F48" s="128"/>
      <c r="G48" s="128"/>
      <c r="H48" s="129"/>
      <c r="I48" s="130"/>
    </row>
    <row r="49" spans="1:9">
      <c r="A49" s="52">
        <f>IF(AND(B49&lt;&gt;"",C49&lt;&gt;"",LEFT(B49,1)&lt;&gt;"#"),MAX($A$2:A45)+1,"")</f>
        <v>21</v>
      </c>
      <c r="B49" s="14" t="s">
        <v>391</v>
      </c>
      <c r="C49" s="10" t="s">
        <v>392</v>
      </c>
      <c r="D49" s="51"/>
      <c r="E49" s="56"/>
      <c r="F49" s="26" t="str">
        <f t="shared" ref="F49" ca="1" si="6">IF(E49&lt;&gt;"",NOW(),"")</f>
        <v/>
      </c>
      <c r="G49" s="69"/>
      <c r="H49" s="74"/>
      <c r="I49" s="65"/>
    </row>
    <row r="50" spans="1:9">
      <c r="A50" s="58"/>
      <c r="B50" s="102" t="str">
        <f>$B$3</f>
        <v>( Add new test case )</v>
      </c>
      <c r="C50" s="105" t="str">
        <f>$C$3</f>
        <v>( Remove previous test result )</v>
      </c>
      <c r="D50" s="182"/>
      <c r="E50" s="239" t="s">
        <v>200</v>
      </c>
      <c r="F50" s="239"/>
      <c r="G50" s="239"/>
      <c r="H50" s="183"/>
      <c r="I50" s="66"/>
    </row>
    <row r="51" spans="1:9">
      <c r="A51" s="52">
        <f>IF(AND(B51&lt;&gt;"",C51&lt;&gt;"",LEFT(B51,1)&lt;&gt;"#"),MAX($A$2:A50)+1,"")</f>
        <v>22</v>
      </c>
      <c r="B51" s="19" t="s">
        <v>393</v>
      </c>
      <c r="C51" s="7" t="s">
        <v>394</v>
      </c>
      <c r="D51" s="51"/>
      <c r="E51" s="55"/>
      <c r="F51" s="23" t="str">
        <f t="shared" ref="F51" ca="1" si="7">IF(E51&lt;&gt;"",NOW(),"")</f>
        <v/>
      </c>
      <c r="G51" s="70"/>
      <c r="H51" s="75"/>
      <c r="I51" s="67"/>
    </row>
    <row r="52" spans="1:9">
      <c r="A52" s="58"/>
      <c r="B52" s="102" t="str">
        <f>$B$3</f>
        <v>( Add new test case )</v>
      </c>
      <c r="C52" s="105" t="str">
        <f>$C$3</f>
        <v>( Remove previous test result )</v>
      </c>
      <c r="D52" s="182"/>
      <c r="E52" s="239" t="s">
        <v>200</v>
      </c>
      <c r="F52" s="239"/>
      <c r="G52" s="239"/>
      <c r="H52" s="183"/>
      <c r="I52" s="66"/>
    </row>
    <row r="53" spans="1:9">
      <c r="A53" s="52">
        <f>IF(AND(B53&lt;&gt;"",C53&lt;&gt;"",LEFT(B53,1)&lt;&gt;"#"),MAX($A$2:A52)+1,"")</f>
        <v>23</v>
      </c>
      <c r="B53" s="19" t="s">
        <v>395</v>
      </c>
      <c r="C53" s="7" t="s">
        <v>396</v>
      </c>
      <c r="D53" s="51"/>
      <c r="E53" s="55"/>
      <c r="F53" s="23" t="str">
        <f t="shared" ref="F53" ca="1" si="8">IF(E53&lt;&gt;"",NOW(),"")</f>
        <v/>
      </c>
      <c r="G53" s="70"/>
      <c r="H53" s="75"/>
      <c r="I53" s="67"/>
    </row>
    <row r="54" spans="1:9">
      <c r="A54" s="58"/>
      <c r="B54" s="102" t="str">
        <f>$B$3</f>
        <v>( Add new test case )</v>
      </c>
      <c r="C54" s="105" t="str">
        <f>$C$3</f>
        <v>( Remove previous test result )</v>
      </c>
      <c r="D54" s="182"/>
      <c r="E54" s="239" t="s">
        <v>200</v>
      </c>
      <c r="F54" s="239"/>
      <c r="G54" s="239"/>
      <c r="H54" s="183"/>
      <c r="I54" s="66"/>
    </row>
    <row r="55" spans="1:9">
      <c r="A55" s="52">
        <f>IF(AND(B55&lt;&gt;"",C55&lt;&gt;"",LEFT(B55,1)&lt;&gt;"#"),MAX($A$2:A54)+1,"")</f>
        <v>24</v>
      </c>
      <c r="B55" s="19" t="s">
        <v>397</v>
      </c>
      <c r="C55" s="7" t="s">
        <v>398</v>
      </c>
      <c r="D55" s="51"/>
      <c r="E55" s="55"/>
      <c r="F55" s="23"/>
      <c r="G55" s="70"/>
      <c r="H55" s="75"/>
      <c r="I55" s="67"/>
    </row>
    <row r="56" spans="1:9">
      <c r="A56" s="58"/>
      <c r="B56" s="102" t="str">
        <f>$B$3</f>
        <v>( Add new test case )</v>
      </c>
      <c r="C56" s="105" t="str">
        <f>$C$3</f>
        <v>( Remove previous test result )</v>
      </c>
      <c r="D56" s="182"/>
      <c r="E56" s="239" t="s">
        <v>200</v>
      </c>
      <c r="F56" s="239"/>
      <c r="G56" s="239"/>
      <c r="H56" s="183"/>
      <c r="I56" s="66"/>
    </row>
    <row r="57" spans="1:9">
      <c r="A57" s="52">
        <f>IF(AND(B57&lt;&gt;"",C57&lt;&gt;"",LEFT(B57,1)&lt;&gt;"#"),MAX($A$2:A56)+1,"")</f>
        <v>25</v>
      </c>
      <c r="B57" s="19" t="s">
        <v>399</v>
      </c>
      <c r="C57" s="7" t="s">
        <v>400</v>
      </c>
      <c r="D57" s="51"/>
      <c r="E57" s="55"/>
      <c r="F57" s="23"/>
      <c r="G57" s="70"/>
      <c r="H57" s="75"/>
      <c r="I57" s="67"/>
    </row>
    <row r="58" spans="1:9">
      <c r="A58" s="58"/>
      <c r="B58" s="102" t="str">
        <f>$B$3</f>
        <v>( Add new test case )</v>
      </c>
      <c r="C58" s="105" t="str">
        <f>$C$3</f>
        <v>( Remove previous test result )</v>
      </c>
      <c r="D58" s="182"/>
      <c r="E58" s="239" t="s">
        <v>200</v>
      </c>
      <c r="F58" s="239"/>
      <c r="G58" s="239"/>
      <c r="H58" s="183"/>
      <c r="I58" s="66"/>
    </row>
    <row r="59" spans="1:9">
      <c r="A59" s="52">
        <f>IF(AND(B59&lt;&gt;"",C59&lt;&gt;"",LEFT(B59,1)&lt;&gt;"#"),MAX($A$2:A58)+1,"")</f>
        <v>26</v>
      </c>
      <c r="B59" s="19" t="s">
        <v>401</v>
      </c>
      <c r="C59" s="7" t="s">
        <v>402</v>
      </c>
      <c r="D59" s="51"/>
      <c r="E59" s="55"/>
      <c r="F59" s="23" t="str">
        <f t="shared" ref="F59" ca="1" si="9">IF(E59&lt;&gt;"",NOW(),"")</f>
        <v/>
      </c>
      <c r="G59" s="70"/>
      <c r="H59" s="75"/>
      <c r="I59" s="67"/>
    </row>
    <row r="60" spans="1:9">
      <c r="A60" s="58"/>
      <c r="B60" s="102" t="str">
        <f>$B$3</f>
        <v>( Add new test case )</v>
      </c>
      <c r="C60" s="105" t="str">
        <f>$C$3</f>
        <v>( Remove previous test result )</v>
      </c>
      <c r="D60" s="182"/>
      <c r="E60" s="239" t="s">
        <v>200</v>
      </c>
      <c r="F60" s="239"/>
      <c r="G60" s="239"/>
      <c r="H60" s="183"/>
      <c r="I60" s="66"/>
    </row>
    <row r="61" spans="1:9">
      <c r="A61" s="52">
        <f>IF(AND(B61&lt;&gt;"",C61&lt;&gt;"",LEFT(B61,1)&lt;&gt;"#"),MAX($A$2:A60)+1,"")</f>
        <v>27</v>
      </c>
      <c r="B61" s="19" t="s">
        <v>403</v>
      </c>
      <c r="C61" s="7" t="s">
        <v>404</v>
      </c>
      <c r="D61" s="51"/>
      <c r="E61" s="55"/>
      <c r="F61" s="23" t="str">
        <f t="shared" ref="F61" ca="1" si="10">IF(E61&lt;&gt;"",NOW(),"")</f>
        <v/>
      </c>
      <c r="G61" s="70"/>
      <c r="H61" s="75"/>
      <c r="I61" s="67"/>
    </row>
    <row r="62" spans="1:9">
      <c r="A62" s="58"/>
      <c r="B62" s="102" t="str">
        <f>$B$3</f>
        <v>( Add new test case )</v>
      </c>
      <c r="C62" s="105" t="str">
        <f>$C$3</f>
        <v>( Remove previous test result )</v>
      </c>
      <c r="D62" s="182"/>
      <c r="E62" s="239" t="s">
        <v>200</v>
      </c>
      <c r="F62" s="239"/>
      <c r="G62" s="239"/>
      <c r="H62" s="183"/>
      <c r="I62" s="66"/>
    </row>
    <row r="63" spans="1:9">
      <c r="A63" s="52">
        <f>IF(AND(B63&lt;&gt;"",C63&lt;&gt;"",LEFT(B63,1)&lt;&gt;"#"),MAX($A$2:A62)+1,"")</f>
        <v>28</v>
      </c>
      <c r="B63" s="19" t="s">
        <v>405</v>
      </c>
      <c r="C63" s="7" t="s">
        <v>406</v>
      </c>
      <c r="D63" s="51"/>
      <c r="E63" s="55"/>
      <c r="F63" s="23" t="str">
        <f t="shared" ref="F63" ca="1" si="11">IF(E63&lt;&gt;"",NOW(),"")</f>
        <v/>
      </c>
      <c r="G63" s="70"/>
      <c r="H63" s="75"/>
      <c r="I63" s="67"/>
    </row>
    <row r="64" spans="1:9">
      <c r="A64" s="58"/>
      <c r="B64" s="102" t="str">
        <f>$B$3</f>
        <v>( Add new test case )</v>
      </c>
      <c r="C64" s="105" t="str">
        <f>$C$3</f>
        <v>( Remove previous test result )</v>
      </c>
      <c r="D64" s="182"/>
      <c r="E64" s="239" t="s">
        <v>200</v>
      </c>
      <c r="F64" s="239"/>
      <c r="G64" s="239"/>
      <c r="H64" s="183"/>
      <c r="I64" s="66"/>
    </row>
    <row r="65" spans="1:9">
      <c r="A65" s="52">
        <f>IF(AND(B65&lt;&gt;"",C65&lt;&gt;"",LEFT(B65,1)&lt;&gt;"#"),MAX($A$2:A64)+1,"")</f>
        <v>29</v>
      </c>
      <c r="B65" s="19" t="s">
        <v>407</v>
      </c>
      <c r="C65" s="7" t="s">
        <v>408</v>
      </c>
      <c r="D65" s="51"/>
      <c r="E65" s="55"/>
      <c r="F65" s="23" t="str">
        <f t="shared" ref="F65" ca="1" si="12">IF(E65&lt;&gt;"",NOW(),"")</f>
        <v/>
      </c>
      <c r="G65" s="70"/>
      <c r="H65" s="75"/>
      <c r="I65" s="67"/>
    </row>
    <row r="66" spans="1:9">
      <c r="A66" s="58"/>
      <c r="B66" s="102" t="str">
        <f>$B$3</f>
        <v>( Add new test case )</v>
      </c>
      <c r="C66" s="105" t="str">
        <f>$C$3</f>
        <v>( Remove previous test result )</v>
      </c>
      <c r="D66" s="182"/>
      <c r="E66" s="239" t="s">
        <v>200</v>
      </c>
      <c r="F66" s="239"/>
      <c r="G66" s="239"/>
      <c r="H66" s="183"/>
      <c r="I66" s="66"/>
    </row>
    <row r="67" spans="1:9" ht="30">
      <c r="A67" s="52">
        <f>IF(AND(B67&lt;&gt;"",C67&lt;&gt;"",LEFT(B67,1)&lt;&gt;"#"),MAX($A$2:A66)+1,"")</f>
        <v>30</v>
      </c>
      <c r="B67" s="19" t="s">
        <v>409</v>
      </c>
      <c r="C67" s="7" t="s">
        <v>410</v>
      </c>
      <c r="D67" s="51"/>
      <c r="E67" s="55"/>
      <c r="F67" s="23"/>
      <c r="G67" s="70"/>
      <c r="H67" s="75"/>
      <c r="I67" s="67"/>
    </row>
    <row r="68" spans="1:9">
      <c r="A68" s="58"/>
      <c r="B68" s="102" t="str">
        <f>$B$3</f>
        <v>( Add new test case )</v>
      </c>
      <c r="C68" s="105" t="str">
        <f>$C$3</f>
        <v>( Remove previous test result )</v>
      </c>
      <c r="D68" s="182"/>
      <c r="E68" s="239" t="s">
        <v>200</v>
      </c>
      <c r="F68" s="239"/>
      <c r="G68" s="239"/>
      <c r="H68" s="183"/>
      <c r="I68" s="66"/>
    </row>
    <row r="69" spans="1:9" ht="30">
      <c r="A69" s="52">
        <f>IF(AND(B69&lt;&gt;"",C69&lt;&gt;"",LEFT(B69,1)&lt;&gt;"#"),MAX($A$2:A68)+1,"")</f>
        <v>31</v>
      </c>
      <c r="B69" s="19" t="s">
        <v>411</v>
      </c>
      <c r="C69" s="7" t="s">
        <v>412</v>
      </c>
      <c r="D69" s="51"/>
      <c r="E69" s="55"/>
      <c r="F69" s="23"/>
      <c r="G69" s="70"/>
      <c r="H69" s="75"/>
      <c r="I69" s="67"/>
    </row>
    <row r="70" spans="1:9">
      <c r="A70" s="58"/>
      <c r="B70" s="102" t="str">
        <f>$B$3</f>
        <v>( Add new test case )</v>
      </c>
      <c r="C70" s="105" t="str">
        <f>$C$3</f>
        <v>( Remove previous test result )</v>
      </c>
      <c r="D70" s="182"/>
      <c r="E70" s="239" t="s">
        <v>200</v>
      </c>
      <c r="F70" s="239"/>
      <c r="G70" s="239"/>
      <c r="H70" s="183"/>
      <c r="I70" s="66"/>
    </row>
    <row r="71" spans="1:9">
      <c r="A71" s="52">
        <f>IF(AND(B71&lt;&gt;"",C71&lt;&gt;"",LEFT(B71,1)&lt;&gt;"#"),MAX($A$2:A70)+1,"")</f>
        <v>32</v>
      </c>
      <c r="B71" s="93" t="s">
        <v>413</v>
      </c>
      <c r="C71" s="94" t="s">
        <v>414</v>
      </c>
      <c r="D71" s="51"/>
      <c r="E71" s="55"/>
      <c r="F71" s="23"/>
      <c r="G71" s="70"/>
      <c r="H71" s="75"/>
      <c r="I71" s="67"/>
    </row>
    <row r="72" spans="1:9">
      <c r="A72" s="58"/>
      <c r="B72" s="102" t="str">
        <f>$B$3</f>
        <v>( Add new test case )</v>
      </c>
      <c r="C72" s="105" t="str">
        <f>$C$3</f>
        <v>( Remove previous test result )</v>
      </c>
      <c r="D72" s="182"/>
      <c r="E72" s="239" t="s">
        <v>200</v>
      </c>
      <c r="F72" s="239"/>
      <c r="G72" s="239"/>
      <c r="H72" s="183"/>
      <c r="I72" s="66"/>
    </row>
    <row r="73" spans="1:9">
      <c r="A73" s="52">
        <f>IF(AND(B73&lt;&gt;"",C73&lt;&gt;"",LEFT(B73,1)&lt;&gt;"#"),MAX($A$2:A72)+1,"")</f>
        <v>33</v>
      </c>
      <c r="B73" s="93" t="s">
        <v>415</v>
      </c>
      <c r="C73" s="94" t="s">
        <v>416</v>
      </c>
      <c r="D73" s="51"/>
      <c r="E73" s="55"/>
      <c r="F73" s="23"/>
      <c r="G73" s="70"/>
      <c r="H73" s="75"/>
      <c r="I73" s="67"/>
    </row>
    <row r="74" spans="1:9">
      <c r="A74" s="58"/>
      <c r="B74" s="102" t="str">
        <f>$B$3</f>
        <v>( Add new test case )</v>
      </c>
      <c r="C74" s="105" t="str">
        <f>$C$3</f>
        <v>( Remove previous test result )</v>
      </c>
      <c r="D74" s="182"/>
      <c r="E74" s="239" t="s">
        <v>200</v>
      </c>
      <c r="F74" s="239"/>
      <c r="G74" s="239"/>
      <c r="H74" s="183"/>
      <c r="I74" s="66"/>
    </row>
    <row r="75" spans="1:9">
      <c r="A75" s="52">
        <f>IF(AND(B75&lt;&gt;"",C75&lt;&gt;"",LEFT(B75,1)&lt;&gt;"#"),MAX($A$2:A74)+1,"")</f>
        <v>34</v>
      </c>
      <c r="B75" s="97" t="s">
        <v>417</v>
      </c>
      <c r="C75" s="98" t="s">
        <v>418</v>
      </c>
      <c r="D75" s="51"/>
      <c r="E75" s="55"/>
      <c r="F75" s="23"/>
      <c r="G75" s="70"/>
      <c r="H75" s="75"/>
      <c r="I75" s="67"/>
    </row>
    <row r="76" spans="1:9">
      <c r="A76" s="58"/>
      <c r="B76" s="102" t="str">
        <f>$B$3</f>
        <v>( Add new test case )</v>
      </c>
      <c r="C76" s="105" t="str">
        <f>$C$3</f>
        <v>( Remove previous test result )</v>
      </c>
      <c r="D76" s="182"/>
      <c r="E76" s="239" t="s">
        <v>200</v>
      </c>
      <c r="F76" s="239"/>
      <c r="G76" s="239"/>
      <c r="H76" s="183"/>
      <c r="I76" s="66"/>
    </row>
    <row r="77" spans="1:9" ht="30">
      <c r="A77" s="52">
        <f>IF(AND(B77&lt;&gt;"",C77&lt;&gt;"",LEFT(B77,1)&lt;&gt;"#"),MAX($A$2:A76)+1,"")</f>
        <v>35</v>
      </c>
      <c r="B77" s="97" t="s">
        <v>419</v>
      </c>
      <c r="C77" s="98" t="s">
        <v>420</v>
      </c>
      <c r="D77" s="51"/>
      <c r="E77" s="55"/>
      <c r="F77" s="23"/>
      <c r="G77" s="70"/>
      <c r="H77" s="75"/>
      <c r="I77" s="67"/>
    </row>
    <row r="78" spans="1:9">
      <c r="A78" s="58"/>
      <c r="B78" s="102" t="str">
        <f>$B$3</f>
        <v>( Add new test case )</v>
      </c>
      <c r="C78" s="105" t="str">
        <f>$C$3</f>
        <v>( Remove previous test result )</v>
      </c>
      <c r="D78" s="182"/>
      <c r="E78" s="239" t="s">
        <v>200</v>
      </c>
      <c r="F78" s="239"/>
      <c r="G78" s="239"/>
      <c r="H78" s="183"/>
      <c r="I78" s="66"/>
    </row>
    <row r="79" spans="1:9">
      <c r="A79" s="52">
        <f>IF(AND(B79&lt;&gt;"",C79&lt;&gt;"",LEFT(B79,1)&lt;&gt;"#"),MAX($A$2:A78)+1,"")</f>
        <v>36</v>
      </c>
      <c r="B79" s="97" t="s">
        <v>421</v>
      </c>
      <c r="C79" s="98" t="s">
        <v>422</v>
      </c>
      <c r="D79" s="51"/>
      <c r="E79" s="55"/>
      <c r="F79" s="23" t="str">
        <f t="shared" ref="F79" ca="1" si="13">IF(E79&lt;&gt;"",NOW(),"")</f>
        <v/>
      </c>
      <c r="G79" s="70"/>
      <c r="H79" s="75"/>
      <c r="I79" s="67"/>
    </row>
    <row r="80" spans="1:9">
      <c r="A80" s="121"/>
      <c r="B80" s="122" t="str">
        <f>$B$3</f>
        <v>( Add new test case )</v>
      </c>
      <c r="C80" s="140" t="str">
        <f>$C$3</f>
        <v>( Remove previous test result )</v>
      </c>
      <c r="D80" s="199"/>
      <c r="E80" s="240" t="s">
        <v>200</v>
      </c>
      <c r="F80" s="240"/>
      <c r="G80" s="240"/>
      <c r="H80" s="200"/>
      <c r="I80" s="83"/>
    </row>
    <row r="81" spans="1:9" ht="15.75">
      <c r="A81" s="124" t="str">
        <f>IF(AND(B81&lt;&gt;"",C81&lt;&gt;"",LEFT(B81,1)&lt;&gt;"#"),MAX(#REF!)+1,"")</f>
        <v/>
      </c>
      <c r="B81" s="149" t="s">
        <v>423</v>
      </c>
      <c r="C81" s="125"/>
      <c r="D81" s="126"/>
      <c r="E81" s="127"/>
      <c r="F81" s="128"/>
      <c r="G81" s="128"/>
      <c r="H81" s="129"/>
      <c r="I81" s="130"/>
    </row>
    <row r="82" spans="1:9">
      <c r="A82" s="52">
        <f>IF(AND(B82&lt;&gt;"",C82&lt;&gt;"",LEFT(B82,1)&lt;&gt;"#"),MAX($A$2:A80)+1,"")</f>
        <v>37</v>
      </c>
      <c r="B82" s="14" t="s">
        <v>425</v>
      </c>
      <c r="C82" s="10" t="s">
        <v>426</v>
      </c>
      <c r="D82" s="51"/>
      <c r="E82" s="56"/>
      <c r="F82" s="26"/>
      <c r="G82" s="69"/>
      <c r="H82" s="74"/>
      <c r="I82" s="65"/>
    </row>
    <row r="83" spans="1:9">
      <c r="A83" s="58"/>
      <c r="B83" s="102" t="str">
        <f>$B$3</f>
        <v>( Add new test case )</v>
      </c>
      <c r="C83" s="105" t="str">
        <f>$C$3</f>
        <v>( Remove previous test result )</v>
      </c>
      <c r="D83" s="182"/>
      <c r="E83" s="239" t="s">
        <v>200</v>
      </c>
      <c r="F83" s="239"/>
      <c r="G83" s="239"/>
      <c r="H83" s="183"/>
      <c r="I83" s="66"/>
    </row>
    <row r="84" spans="1:9">
      <c r="A84" s="52">
        <f>IF(AND(B84&lt;&gt;"",C84&lt;&gt;"",LEFT(B84,1)&lt;&gt;"#"),MAX($A$2:A83)+1,"")</f>
        <v>38</v>
      </c>
      <c r="B84" s="15" t="s">
        <v>427</v>
      </c>
      <c r="C84" s="4" t="s">
        <v>428</v>
      </c>
      <c r="D84" s="51"/>
      <c r="E84" s="55"/>
      <c r="F84" s="23" t="str">
        <f t="shared" ref="F84" ca="1" si="14">IF(E84&lt;&gt;"",NOW(),"")</f>
        <v/>
      </c>
      <c r="G84" s="70"/>
      <c r="H84" s="75"/>
      <c r="I84" s="67"/>
    </row>
    <row r="85" spans="1:9">
      <c r="A85" s="58"/>
      <c r="B85" s="102" t="str">
        <f>$B$3</f>
        <v>( Add new test case )</v>
      </c>
      <c r="C85" s="105" t="str">
        <f>$C$3</f>
        <v>( Remove previous test result )</v>
      </c>
      <c r="D85" s="182"/>
      <c r="E85" s="239" t="s">
        <v>200</v>
      </c>
      <c r="F85" s="239"/>
      <c r="G85" s="239"/>
      <c r="H85" s="183"/>
      <c r="I85" s="66"/>
    </row>
    <row r="86" spans="1:9">
      <c r="A86" s="52">
        <f>IF(AND(B86&lt;&gt;"",C86&lt;&gt;"",LEFT(B86,1)&lt;&gt;"#"),MAX($A$2:A85)+1,"")</f>
        <v>39</v>
      </c>
      <c r="B86" s="15" t="s">
        <v>429</v>
      </c>
      <c r="C86" s="4" t="s">
        <v>430</v>
      </c>
      <c r="D86" s="51"/>
      <c r="E86" s="55"/>
      <c r="F86" s="23" t="str">
        <f t="shared" ref="F86" ca="1" si="15">IF(E86&lt;&gt;"",NOW(),"")</f>
        <v/>
      </c>
      <c r="G86" s="70"/>
      <c r="H86" s="75"/>
      <c r="I86" s="67"/>
    </row>
    <row r="87" spans="1:9">
      <c r="A87" s="58"/>
      <c r="B87" s="102" t="str">
        <f>$B$3</f>
        <v>( Add new test case )</v>
      </c>
      <c r="C87" s="105" t="str">
        <f>$C$3</f>
        <v>( Remove previous test result )</v>
      </c>
      <c r="D87" s="182"/>
      <c r="E87" s="239" t="s">
        <v>200</v>
      </c>
      <c r="F87" s="239"/>
      <c r="G87" s="239"/>
      <c r="H87" s="183"/>
      <c r="I87" s="66"/>
    </row>
    <row r="88" spans="1:9">
      <c r="A88" s="52">
        <f>IF(AND(B88&lt;&gt;"",C88&lt;&gt;"",LEFT(B88,1)&lt;&gt;"#"),MAX($A$2:A87)+1,"")</f>
        <v>40</v>
      </c>
      <c r="B88" s="15" t="s">
        <v>431</v>
      </c>
      <c r="C88" s="4" t="s">
        <v>432</v>
      </c>
      <c r="D88" s="51"/>
      <c r="E88" s="55"/>
      <c r="F88" s="23" t="str">
        <f t="shared" ref="F88" ca="1" si="16">IF(E88&lt;&gt;"",NOW(),"")</f>
        <v/>
      </c>
      <c r="G88" s="70"/>
      <c r="H88" s="75"/>
      <c r="I88" s="67"/>
    </row>
    <row r="89" spans="1:9">
      <c r="A89" s="121"/>
      <c r="B89" s="122" t="str">
        <f>$B$3</f>
        <v>( Add new test case )</v>
      </c>
      <c r="C89" s="140" t="str">
        <f>$C$3</f>
        <v>( Remove previous test result )</v>
      </c>
      <c r="D89" s="199"/>
      <c r="E89" s="240" t="s">
        <v>200</v>
      </c>
      <c r="F89" s="240"/>
      <c r="G89" s="240"/>
      <c r="H89" s="200"/>
      <c r="I89" s="83"/>
    </row>
    <row r="90" spans="1:9" ht="15.75">
      <c r="A90" s="124" t="str">
        <f>IF(AND(B90&lt;&gt;"",C90&lt;&gt;"",LEFT(B90,1)&lt;&gt;"#"),MAX(#REF!)+1,"")</f>
        <v/>
      </c>
      <c r="B90" s="149" t="s">
        <v>424</v>
      </c>
      <c r="C90" s="125"/>
      <c r="D90" s="126"/>
      <c r="E90" s="127"/>
      <c r="F90" s="128"/>
      <c r="G90" s="128"/>
      <c r="H90" s="129"/>
      <c r="I90" s="130"/>
    </row>
    <row r="91" spans="1:9">
      <c r="A91" s="52">
        <f>IF(AND(B91&lt;&gt;"",C91&lt;&gt;"",LEFT(B91,1)&lt;&gt;"#"),MAX($A$2:A89)+1,"")</f>
        <v>41</v>
      </c>
      <c r="B91" s="14" t="s">
        <v>433</v>
      </c>
      <c r="C91" s="10" t="s">
        <v>434</v>
      </c>
      <c r="D91" s="51"/>
      <c r="E91" s="56"/>
      <c r="F91" s="26" t="str">
        <f t="shared" ref="F91" ca="1" si="17">IF(E91&lt;&gt;"",NOW(),"")</f>
        <v/>
      </c>
      <c r="G91" s="69"/>
      <c r="H91" s="74"/>
      <c r="I91" s="65"/>
    </row>
    <row r="92" spans="1:9">
      <c r="A92" s="58"/>
      <c r="B92" s="102" t="str">
        <f>$B$3</f>
        <v>( Add new test case )</v>
      </c>
      <c r="C92" s="105" t="str">
        <f>$C$3</f>
        <v>( Remove previous test result )</v>
      </c>
      <c r="D92" s="182"/>
      <c r="E92" s="239" t="s">
        <v>200</v>
      </c>
      <c r="F92" s="239"/>
      <c r="G92" s="239"/>
      <c r="H92" s="183"/>
      <c r="I92" s="66"/>
    </row>
    <row r="93" spans="1:9">
      <c r="A93" s="52">
        <f>IF(AND(B93&lt;&gt;"",C93&lt;&gt;"",LEFT(B93,1)&lt;&gt;"#"),MAX($A$2:A92)+1,"")</f>
        <v>42</v>
      </c>
      <c r="B93" s="15" t="s">
        <v>435</v>
      </c>
      <c r="C93" s="4" t="s">
        <v>436</v>
      </c>
      <c r="D93" s="51"/>
      <c r="E93" s="55"/>
      <c r="F93" s="23"/>
      <c r="G93" s="70"/>
      <c r="H93" s="75"/>
      <c r="I93" s="67"/>
    </row>
    <row r="94" spans="1:9">
      <c r="A94" s="58"/>
      <c r="B94" s="102" t="str">
        <f>$B$3</f>
        <v>( Add new test case )</v>
      </c>
      <c r="C94" s="105" t="str">
        <f>$C$3</f>
        <v>( Remove previous test result )</v>
      </c>
      <c r="D94" s="182"/>
      <c r="E94" s="239" t="s">
        <v>200</v>
      </c>
      <c r="F94" s="239"/>
      <c r="G94" s="239"/>
      <c r="H94" s="183"/>
      <c r="I94" s="66"/>
    </row>
    <row r="95" spans="1:9">
      <c r="A95" s="52">
        <f>IF(AND(B95&lt;&gt;"",C95&lt;&gt;"",LEFT(B95,1)&lt;&gt;"#"),MAX($A$2:A94)+1,"")</f>
        <v>43</v>
      </c>
      <c r="B95" s="15" t="s">
        <v>437</v>
      </c>
      <c r="C95" s="4" t="s">
        <v>438</v>
      </c>
      <c r="D95" s="51"/>
      <c r="E95" s="55"/>
      <c r="F95" s="23"/>
      <c r="G95" s="70"/>
      <c r="H95" s="75"/>
      <c r="I95" s="67"/>
    </row>
    <row r="96" spans="1:9">
      <c r="A96" s="58"/>
      <c r="B96" s="102" t="str">
        <f>$B$3</f>
        <v>( Add new test case )</v>
      </c>
      <c r="C96" s="105" t="str">
        <f>$C$3</f>
        <v>( Remove previous test result )</v>
      </c>
      <c r="D96" s="182"/>
      <c r="E96" s="239" t="s">
        <v>200</v>
      </c>
      <c r="F96" s="239"/>
      <c r="G96" s="239"/>
      <c r="H96" s="183"/>
      <c r="I96" s="66"/>
    </row>
    <row r="97" spans="1:9">
      <c r="A97" s="52">
        <f>IF(AND(B97&lt;&gt;"",C97&lt;&gt;"",LEFT(B97,1)&lt;&gt;"#"),MAX($A$2:A96)+1,"")</f>
        <v>44</v>
      </c>
      <c r="B97" s="15" t="s">
        <v>439</v>
      </c>
      <c r="C97" s="4" t="s">
        <v>440</v>
      </c>
      <c r="D97" s="51"/>
      <c r="E97" s="55"/>
      <c r="F97" s="23" t="str">
        <f t="shared" ref="F97" ca="1" si="18">IF(E97&lt;&gt;"",NOW(),"")</f>
        <v/>
      </c>
      <c r="G97" s="70"/>
      <c r="H97" s="75"/>
      <c r="I97" s="67"/>
    </row>
    <row r="98" spans="1:9">
      <c r="A98" s="58"/>
      <c r="B98" s="102" t="str">
        <f>$B$3</f>
        <v>( Add new test case )</v>
      </c>
      <c r="C98" s="105" t="str">
        <f>$C$3</f>
        <v>( Remove previous test result )</v>
      </c>
      <c r="D98" s="182"/>
      <c r="E98" s="239" t="s">
        <v>200</v>
      </c>
      <c r="F98" s="239"/>
      <c r="G98" s="239"/>
      <c r="H98" s="183"/>
      <c r="I98" s="66"/>
    </row>
    <row r="99" spans="1:9">
      <c r="A99" s="52">
        <f>IF(AND(B99&lt;&gt;"",C99&lt;&gt;"",LEFT(B99,1)&lt;&gt;"#"),MAX($A$2:A98)+1,"")</f>
        <v>45</v>
      </c>
      <c r="B99" s="15" t="s">
        <v>441</v>
      </c>
      <c r="C99" s="4" t="s">
        <v>442</v>
      </c>
      <c r="D99" s="51"/>
      <c r="E99" s="55"/>
      <c r="F99" s="23" t="str">
        <f t="shared" ref="F99" ca="1" si="19">IF(E99&lt;&gt;"",NOW(),"")</f>
        <v/>
      </c>
      <c r="G99" s="70"/>
      <c r="H99" s="75"/>
      <c r="I99" s="67"/>
    </row>
    <row r="100" spans="1:9">
      <c r="A100" s="58"/>
      <c r="B100" s="102" t="str">
        <f>$B$3</f>
        <v>( Add new test case )</v>
      </c>
      <c r="C100" s="105" t="str">
        <f>$C$3</f>
        <v>( Remove previous test result )</v>
      </c>
      <c r="D100" s="182"/>
      <c r="E100" s="239" t="s">
        <v>200</v>
      </c>
      <c r="F100" s="239"/>
      <c r="G100" s="239"/>
      <c r="H100" s="183"/>
      <c r="I100" s="66"/>
    </row>
    <row r="101" spans="1:9">
      <c r="A101" s="52">
        <f>IF(AND(B101&lt;&gt;"",C101&lt;&gt;"",LEFT(B101,1)&lt;&gt;"#"),MAX($A$2:A100)+1,"")</f>
        <v>46</v>
      </c>
      <c r="B101" s="15" t="s">
        <v>443</v>
      </c>
      <c r="C101" s="4" t="s">
        <v>444</v>
      </c>
      <c r="D101" s="51"/>
      <c r="E101" s="55"/>
      <c r="F101" s="23" t="str">
        <f t="shared" ref="F101" ca="1" si="20">IF(E101&lt;&gt;"",NOW(),"")</f>
        <v/>
      </c>
      <c r="G101" s="70"/>
      <c r="H101" s="75"/>
      <c r="I101" s="67"/>
    </row>
    <row r="102" spans="1:9">
      <c r="A102" s="58"/>
      <c r="B102" s="102" t="str">
        <f>$B$3</f>
        <v>( Add new test case )</v>
      </c>
      <c r="C102" s="105" t="str">
        <f>$C$3</f>
        <v>( Remove previous test result )</v>
      </c>
      <c r="D102" s="182"/>
      <c r="E102" s="239" t="s">
        <v>200</v>
      </c>
      <c r="F102" s="239"/>
      <c r="G102" s="239"/>
      <c r="H102" s="183"/>
      <c r="I102" s="66"/>
    </row>
    <row r="103" spans="1:9">
      <c r="A103" s="52">
        <f>IF(AND(B103&lt;&gt;"",C103&lt;&gt;"",LEFT(B103,1)&lt;&gt;"#"),MAX($A$2:A102)+1,"")</f>
        <v>47</v>
      </c>
      <c r="B103" s="20" t="s">
        <v>445</v>
      </c>
      <c r="C103" s="95" t="s">
        <v>446</v>
      </c>
      <c r="D103" s="51"/>
      <c r="E103" s="55"/>
      <c r="F103" s="23" t="str">
        <f t="shared" ref="F103" ca="1" si="21">IF(E103&lt;&gt;"",NOW(),"")</f>
        <v/>
      </c>
      <c r="G103" s="70"/>
      <c r="H103" s="75"/>
      <c r="I103" s="67"/>
    </row>
    <row r="104" spans="1:9">
      <c r="A104" s="121"/>
      <c r="B104" s="122" t="str">
        <f>$B$3</f>
        <v>( Add new test case )</v>
      </c>
      <c r="C104" s="140" t="str">
        <f>$C$3</f>
        <v>( Remove previous test result )</v>
      </c>
      <c r="D104" s="199"/>
      <c r="E104" s="240" t="s">
        <v>200</v>
      </c>
      <c r="F104" s="240"/>
      <c r="G104" s="240"/>
      <c r="H104" s="200"/>
      <c r="I104" s="83"/>
    </row>
    <row r="105" spans="1:9" ht="15.75">
      <c r="A105" s="124" t="str">
        <f>IF(AND(B105&lt;&gt;"",C105&lt;&gt;"",LEFT(B105,1)&lt;&gt;"#"),MAX(#REF!)+1,"")</f>
        <v/>
      </c>
      <c r="B105" s="149" t="s">
        <v>447</v>
      </c>
      <c r="C105" s="125"/>
      <c r="D105" s="126"/>
      <c r="E105" s="127"/>
      <c r="F105" s="128"/>
      <c r="G105" s="128"/>
      <c r="H105" s="129"/>
      <c r="I105" s="130"/>
    </row>
    <row r="106" spans="1:9">
      <c r="A106" s="52">
        <f>IF(AND(B106&lt;&gt;"",C106&lt;&gt;"",LEFT(B106,1)&lt;&gt;"#"),MAX($A$2:A104)+1,"")</f>
        <v>48</v>
      </c>
      <c r="B106" s="14" t="s">
        <v>450</v>
      </c>
      <c r="C106" s="10" t="s">
        <v>451</v>
      </c>
      <c r="D106" s="51"/>
      <c r="E106" s="56"/>
      <c r="F106" s="26"/>
      <c r="G106" s="69"/>
      <c r="H106" s="74"/>
      <c r="I106" s="65"/>
    </row>
    <row r="107" spans="1:9">
      <c r="A107" s="58"/>
      <c r="B107" s="102" t="str">
        <f>$B$3</f>
        <v>( Add new test case )</v>
      </c>
      <c r="C107" s="105" t="str">
        <f>$C$3</f>
        <v>( Remove previous test result )</v>
      </c>
      <c r="D107" s="182"/>
      <c r="E107" s="239" t="s">
        <v>200</v>
      </c>
      <c r="F107" s="239"/>
      <c r="G107" s="239"/>
      <c r="H107" s="183"/>
      <c r="I107" s="66"/>
    </row>
    <row r="108" spans="1:9">
      <c r="A108" s="52">
        <f>IF(AND(B108&lt;&gt;"",C108&lt;&gt;"",LEFT(B108,1)&lt;&gt;"#"),MAX($A$2:A107)+1,"")</f>
        <v>49</v>
      </c>
      <c r="B108" s="15" t="s">
        <v>452</v>
      </c>
      <c r="C108" s="4" t="s">
        <v>453</v>
      </c>
      <c r="D108" s="51"/>
      <c r="E108" s="55"/>
      <c r="F108" s="23"/>
      <c r="G108" s="70"/>
      <c r="H108" s="75"/>
      <c r="I108" s="67"/>
    </row>
    <row r="109" spans="1:9">
      <c r="A109" s="58"/>
      <c r="B109" s="102" t="str">
        <f>$B$3</f>
        <v>( Add new test case )</v>
      </c>
      <c r="C109" s="105" t="str">
        <f>$C$3</f>
        <v>( Remove previous test result )</v>
      </c>
      <c r="D109" s="182"/>
      <c r="E109" s="239" t="s">
        <v>200</v>
      </c>
      <c r="F109" s="239"/>
      <c r="G109" s="239"/>
      <c r="H109" s="183"/>
      <c r="I109" s="66"/>
    </row>
    <row r="110" spans="1:9">
      <c r="A110" s="52">
        <f>IF(AND(B110&lt;&gt;"",C110&lt;&gt;"",LEFT(B110,1)&lt;&gt;"#"),MAX($A$2:A109)+1,"")</f>
        <v>50</v>
      </c>
      <c r="B110" s="15" t="s">
        <v>454</v>
      </c>
      <c r="C110" s="4" t="s">
        <v>455</v>
      </c>
      <c r="D110" s="51"/>
      <c r="E110" s="55"/>
      <c r="F110" s="23" t="str">
        <f t="shared" ref="F110" ca="1" si="22">IF(E110&lt;&gt;"",NOW(),"")</f>
        <v/>
      </c>
      <c r="G110" s="70"/>
      <c r="H110" s="75"/>
      <c r="I110" s="67"/>
    </row>
    <row r="111" spans="1:9">
      <c r="A111" s="121"/>
      <c r="B111" s="122" t="str">
        <f>$B$3</f>
        <v>( Add new test case )</v>
      </c>
      <c r="C111" s="140" t="str">
        <f>$C$3</f>
        <v>( Remove previous test result )</v>
      </c>
      <c r="D111" s="199"/>
      <c r="E111" s="240" t="s">
        <v>200</v>
      </c>
      <c r="F111" s="240"/>
      <c r="G111" s="240"/>
      <c r="H111" s="200"/>
      <c r="I111" s="83"/>
    </row>
    <row r="112" spans="1:9" ht="15.75">
      <c r="A112" s="124" t="str">
        <f>IF(AND(B112&lt;&gt;"",C112&lt;&gt;"",LEFT(B112,1)&lt;&gt;"#"),MAX(#REF!)+1,"")</f>
        <v/>
      </c>
      <c r="B112" s="149" t="s">
        <v>448</v>
      </c>
      <c r="C112" s="125"/>
      <c r="D112" s="126"/>
      <c r="E112" s="127"/>
      <c r="F112" s="128"/>
      <c r="G112" s="128"/>
      <c r="H112" s="129"/>
      <c r="I112" s="130"/>
    </row>
    <row r="113" spans="1:9" ht="30">
      <c r="A113" s="52">
        <f>IF(AND(B113&lt;&gt;"",C113&lt;&gt;"",LEFT(B113,1)&lt;&gt;"#"),MAX($A$2:A111)+1,"")</f>
        <v>51</v>
      </c>
      <c r="B113" s="14" t="s">
        <v>346</v>
      </c>
      <c r="C113" s="10" t="s">
        <v>347</v>
      </c>
      <c r="D113" s="51"/>
      <c r="E113" s="56"/>
      <c r="F113" s="26" t="str">
        <f t="shared" ref="F113" ca="1" si="23">IF(E113&lt;&gt;"",NOW(),"")</f>
        <v/>
      </c>
      <c r="G113" s="69"/>
      <c r="H113" s="74"/>
      <c r="I113" s="65"/>
    </row>
    <row r="114" spans="1:9">
      <c r="A114" s="58"/>
      <c r="B114" s="102" t="str">
        <f>$B$3</f>
        <v>( Add new test case )</v>
      </c>
      <c r="C114" s="105" t="str">
        <f>$C$3</f>
        <v>( Remove previous test result )</v>
      </c>
      <c r="D114" s="100"/>
      <c r="E114" s="239" t="s">
        <v>200</v>
      </c>
      <c r="F114" s="239"/>
      <c r="G114" s="239"/>
      <c r="H114" s="183"/>
      <c r="I114" s="66"/>
    </row>
    <row r="115" spans="1:9">
      <c r="A115" s="52">
        <f>IF(AND(B115&lt;&gt;"",C115&lt;&gt;"",LEFT(B115,1)&lt;&gt;"#"),MAX($A$2:A114)+1,"")</f>
        <v>52</v>
      </c>
      <c r="B115" s="14" t="s">
        <v>348</v>
      </c>
      <c r="C115" s="22" t="s">
        <v>349</v>
      </c>
      <c r="D115" s="152"/>
      <c r="E115" s="55"/>
      <c r="F115" s="23" t="str">
        <f t="shared" ref="F115" ca="1" si="24">IF(E115&lt;&gt;"",NOW(),"")</f>
        <v/>
      </c>
      <c r="G115" s="70"/>
      <c r="H115" s="75"/>
      <c r="I115" s="67"/>
    </row>
    <row r="116" spans="1:9">
      <c r="A116" s="121"/>
      <c r="B116" s="122" t="str">
        <f>$B$3</f>
        <v>( Add new test case )</v>
      </c>
      <c r="C116" s="140" t="str">
        <f>$C$3</f>
        <v>( Remove previous test result )</v>
      </c>
      <c r="D116" s="100"/>
      <c r="E116" s="240" t="s">
        <v>200</v>
      </c>
      <c r="F116" s="240"/>
      <c r="G116" s="240"/>
      <c r="H116" s="200"/>
      <c r="I116" s="83"/>
    </row>
    <row r="117" spans="1:9" ht="15.75">
      <c r="A117" s="124" t="str">
        <f>IF(AND(B117&lt;&gt;"",C117&lt;&gt;"",LEFT(B117,1)&lt;&gt;"#"),MAX(#REF!)+1,"")</f>
        <v/>
      </c>
      <c r="B117" s="149" t="s">
        <v>449</v>
      </c>
      <c r="C117" s="125"/>
      <c r="D117" s="126"/>
      <c r="E117" s="127"/>
      <c r="F117" s="128"/>
      <c r="G117" s="128"/>
      <c r="H117" s="129"/>
      <c r="I117" s="130"/>
    </row>
    <row r="118" spans="1:9">
      <c r="A118" s="52">
        <f>IF(AND(B118&lt;&gt;"",C118&lt;&gt;"",LEFT(B118,1)&lt;&gt;"#"),MAX($A$2:A116)+1,"")</f>
        <v>53</v>
      </c>
      <c r="B118" s="14" t="s">
        <v>456</v>
      </c>
      <c r="C118" s="10" t="s">
        <v>457</v>
      </c>
      <c r="D118" s="51"/>
      <c r="E118" s="56"/>
      <c r="F118" s="26" t="str">
        <f t="shared" ref="F118" ca="1" si="25">IF(E118&lt;&gt;"",NOW(),"")</f>
        <v/>
      </c>
      <c r="G118" s="69"/>
      <c r="H118" s="74"/>
      <c r="I118" s="65"/>
    </row>
    <row r="119" spans="1:9">
      <c r="A119" s="58"/>
      <c r="B119" s="102" t="str">
        <f>$B$3</f>
        <v>( Add new test case )</v>
      </c>
      <c r="C119" s="105" t="str">
        <f>$C$3</f>
        <v>( Remove previous test result )</v>
      </c>
      <c r="D119" s="182"/>
      <c r="E119" s="239" t="s">
        <v>200</v>
      </c>
      <c r="F119" s="239"/>
      <c r="G119" s="239"/>
      <c r="H119" s="183"/>
      <c r="I119" s="66"/>
    </row>
    <row r="120" spans="1:9">
      <c r="A120" s="52">
        <f>IF(AND(B120&lt;&gt;"",C120&lt;&gt;"",LEFT(B120,1)&lt;&gt;"#"),MAX($A$2:A119)+1,"")</f>
        <v>54</v>
      </c>
      <c r="B120" s="14" t="s">
        <v>458</v>
      </c>
      <c r="C120" s="10" t="s">
        <v>459</v>
      </c>
      <c r="D120" s="51"/>
      <c r="E120" s="55"/>
      <c r="F120" s="23"/>
      <c r="G120" s="70"/>
      <c r="H120" s="75"/>
      <c r="I120" s="67"/>
    </row>
    <row r="121" spans="1:9">
      <c r="A121" s="58"/>
      <c r="B121" s="102" t="str">
        <f>$B$3</f>
        <v>( Add new test case )</v>
      </c>
      <c r="C121" s="105" t="str">
        <f>$C$3</f>
        <v>( Remove previous test result )</v>
      </c>
      <c r="D121" s="182"/>
      <c r="E121" s="239" t="s">
        <v>200</v>
      </c>
      <c r="F121" s="239"/>
      <c r="G121" s="239"/>
      <c r="H121" s="183"/>
      <c r="I121" s="66"/>
    </row>
    <row r="122" spans="1:9">
      <c r="A122" s="52">
        <f>IF(AND(B122&lt;&gt;"",C122&lt;&gt;"",LEFT(B122,1)&lt;&gt;"#"),MAX($A$2:A121)+1,"")</f>
        <v>55</v>
      </c>
      <c r="B122" s="15" t="s">
        <v>460</v>
      </c>
      <c r="C122" s="4" t="s">
        <v>460</v>
      </c>
      <c r="D122" s="51"/>
      <c r="E122" s="55"/>
      <c r="F122" s="23"/>
      <c r="G122" s="70"/>
      <c r="H122" s="75"/>
      <c r="I122" s="67"/>
    </row>
    <row r="123" spans="1:9">
      <c r="A123" s="58"/>
      <c r="B123" s="102" t="str">
        <f>$B$3</f>
        <v>( Add new test case )</v>
      </c>
      <c r="C123" s="105" t="str">
        <f>$C$3</f>
        <v>( Remove previous test result )</v>
      </c>
      <c r="D123" s="182"/>
      <c r="E123" s="239" t="s">
        <v>200</v>
      </c>
      <c r="F123" s="239"/>
      <c r="G123" s="239"/>
      <c r="H123" s="183"/>
      <c r="I123" s="66"/>
    </row>
    <row r="124" spans="1:9">
      <c r="A124" s="52">
        <f>IF(AND(B124&lt;&gt;"",C124&lt;&gt;"",LEFT(B124,1)&lt;&gt;"#"),MAX($A$2:A123)+1,"")</f>
        <v>56</v>
      </c>
      <c r="B124" s="15" t="s">
        <v>461</v>
      </c>
      <c r="C124" s="4" t="s">
        <v>461</v>
      </c>
      <c r="D124" s="51"/>
      <c r="E124" s="55"/>
      <c r="F124" s="23" t="str">
        <f t="shared" ref="F124" ca="1" si="26">IF(E124&lt;&gt;"",NOW(),"")</f>
        <v/>
      </c>
      <c r="G124" s="70"/>
      <c r="H124" s="75"/>
      <c r="I124" s="67"/>
    </row>
    <row r="125" spans="1:9">
      <c r="A125" s="121"/>
      <c r="B125" s="122" t="str">
        <f>$B$3</f>
        <v>( Add new test case )</v>
      </c>
      <c r="C125" s="140" t="str">
        <f>$C$3</f>
        <v>( Remove previous test result )</v>
      </c>
      <c r="D125" s="199"/>
      <c r="E125" s="240" t="s">
        <v>200</v>
      </c>
      <c r="F125" s="240"/>
      <c r="G125" s="240"/>
      <c r="H125" s="200"/>
      <c r="I125" s="83"/>
    </row>
    <row r="126" spans="1:9" ht="15.75">
      <c r="A126" s="124" t="str">
        <f>IF(AND(B126&lt;&gt;"",C126&lt;&gt;"",LEFT(B126,1)&lt;&gt;"#"),MAX($A$2:A26)+1,"")</f>
        <v/>
      </c>
      <c r="B126" s="150" t="s">
        <v>469</v>
      </c>
      <c r="C126" s="125"/>
      <c r="D126" s="126"/>
      <c r="E126" s="127"/>
      <c r="F126" s="128"/>
      <c r="G126" s="128"/>
      <c r="H126" s="129"/>
      <c r="I126" s="130"/>
    </row>
    <row r="127" spans="1:9" ht="30">
      <c r="A127" s="53">
        <f>IF(AND(B127&lt;&gt;"",C127&lt;&gt;"",LEFT(B127,1)&lt;&gt;"#"),MAX($A$2:A126)+1,"")</f>
        <v>57</v>
      </c>
      <c r="B127" s="14" t="s">
        <v>462</v>
      </c>
      <c r="C127" s="10" t="s">
        <v>463</v>
      </c>
      <c r="D127" s="51"/>
      <c r="E127" s="56"/>
      <c r="F127" s="26" t="str">
        <f t="shared" ref="F127" ca="1" si="27">IF(E127&lt;&gt;"",NOW(),"")</f>
        <v/>
      </c>
      <c r="G127" s="69"/>
      <c r="H127" s="74"/>
      <c r="I127" s="68"/>
    </row>
    <row r="128" spans="1:9">
      <c r="A128" s="58"/>
      <c r="B128" s="102" t="str">
        <f>$B$3</f>
        <v>( Add new test case )</v>
      </c>
      <c r="C128" s="105" t="str">
        <f>$C$3</f>
        <v>( Remove previous test result )</v>
      </c>
      <c r="D128" s="182"/>
      <c r="E128" s="239" t="s">
        <v>200</v>
      </c>
      <c r="F128" s="239"/>
      <c r="G128" s="239"/>
      <c r="H128" s="183"/>
      <c r="I128" s="66"/>
    </row>
    <row r="129" spans="1:9">
      <c r="A129" s="53">
        <f>IF(AND(B129&lt;&gt;"",C129&lt;&gt;"",LEFT(B129,1)&lt;&gt;"#"),MAX($A$2:A128)+1,"")</f>
        <v>58</v>
      </c>
      <c r="B129" s="15" t="s">
        <v>464</v>
      </c>
      <c r="C129" s="4" t="s">
        <v>465</v>
      </c>
      <c r="D129" s="51"/>
      <c r="E129" s="56"/>
      <c r="F129" s="26"/>
      <c r="G129" s="69"/>
      <c r="H129" s="74"/>
      <c r="I129" s="68"/>
    </row>
    <row r="130" spans="1:9">
      <c r="A130" s="121"/>
      <c r="B130" s="122" t="str">
        <f>$B$3</f>
        <v>( Add new test case )</v>
      </c>
      <c r="C130" s="140" t="str">
        <f>$C$3</f>
        <v>( Remove previous test result )</v>
      </c>
      <c r="D130" s="100"/>
      <c r="E130" s="240" t="s">
        <v>200</v>
      </c>
      <c r="F130" s="240"/>
      <c r="G130" s="240"/>
      <c r="H130" s="200"/>
      <c r="I130" s="83"/>
    </row>
    <row r="131" spans="1:9" ht="15.75">
      <c r="A131" s="124" t="str">
        <f>IF(AND(B131&lt;&gt;"",C131&lt;&gt;"",LEFT(B131,1)&lt;&gt;"#"),MAX($A$2:A128)+1,"")</f>
        <v/>
      </c>
      <c r="B131" s="149" t="s">
        <v>69</v>
      </c>
      <c r="C131" s="125"/>
      <c r="D131" s="126"/>
      <c r="E131" s="127"/>
      <c r="F131" s="128"/>
      <c r="G131" s="128"/>
      <c r="H131" s="129"/>
      <c r="I131" s="130"/>
    </row>
    <row r="132" spans="1:9" ht="30">
      <c r="A132" s="53" t="str">
        <f>IF(AND(B132&lt;&gt;"",C132&lt;&gt;"",LEFT(B132,1)&lt;&gt;"#"),MAX($A$2:A131)+1,"")</f>
        <v/>
      </c>
      <c r="B132" s="14" t="s">
        <v>65</v>
      </c>
      <c r="C132" s="14" t="s">
        <v>32</v>
      </c>
      <c r="D132" s="51"/>
      <c r="E132" s="56"/>
      <c r="F132" s="26"/>
      <c r="G132" s="69"/>
      <c r="H132" s="74"/>
      <c r="I132" s="68"/>
    </row>
    <row r="133" spans="1:9">
      <c r="A133" s="58"/>
      <c r="B133" s="102" t="str">
        <f>$B$3</f>
        <v>( Add new test case )</v>
      </c>
      <c r="C133" s="105" t="str">
        <f>$C$3</f>
        <v>( Remove previous test result )</v>
      </c>
      <c r="D133" s="182"/>
      <c r="E133" s="239" t="s">
        <v>200</v>
      </c>
      <c r="F133" s="239"/>
      <c r="G133" s="239"/>
      <c r="H133" s="183"/>
      <c r="I133" s="66"/>
    </row>
  </sheetData>
  <sheetProtection password="88A1"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c r="A1" s="223"/>
      <c r="B1" s="234" t="str">
        <f ca="1">MID(CELL("filename",A1),FIND("]",CELL("filename",A1))+1,255)</f>
        <v>TimeTracking</v>
      </c>
      <c r="C1" s="229"/>
      <c r="D1" s="235" t="str">
        <f>ProjectSummary!$D$1</f>
        <v xml:space="preserve"> -  /</v>
      </c>
      <c r="E1" s="230"/>
      <c r="F1" s="230"/>
      <c r="G1" s="230"/>
      <c r="H1" s="230"/>
      <c r="I1" s="230"/>
      <c r="J1" s="230"/>
      <c r="K1" s="230"/>
      <c r="L1" s="230"/>
      <c r="M1" s="230"/>
      <c r="N1" s="230"/>
      <c r="O1" s="230"/>
      <c r="P1" s="230"/>
      <c r="Q1" s="230"/>
      <c r="R1" s="230"/>
      <c r="S1" s="230"/>
      <c r="T1" s="230"/>
      <c r="U1" s="230"/>
      <c r="V1" s="230"/>
    </row>
    <row r="2" spans="1:22" ht="23.25">
      <c r="B2" s="50"/>
    </row>
    <row r="4" spans="1:22">
      <c r="B4" s="30"/>
      <c r="C4" s="31"/>
      <c r="D4" s="43"/>
      <c r="E4" s="32" t="s">
        <v>80</v>
      </c>
      <c r="F4" s="33" t="s">
        <v>81</v>
      </c>
      <c r="G4" s="33" t="s">
        <v>82</v>
      </c>
      <c r="H4" s="33" t="s">
        <v>98</v>
      </c>
      <c r="I4" s="33" t="s">
        <v>74</v>
      </c>
      <c r="J4" s="34" t="s">
        <v>75</v>
      </c>
      <c r="K4" s="34" t="s">
        <v>117</v>
      </c>
    </row>
    <row r="5" spans="1:22" s="3" customFormat="1" ht="45">
      <c r="B5" s="36" t="s">
        <v>78</v>
      </c>
      <c r="C5" s="37" t="s">
        <v>79</v>
      </c>
      <c r="D5" s="44" t="s">
        <v>83</v>
      </c>
      <c r="E5" s="41">
        <v>0</v>
      </c>
      <c r="F5" s="41">
        <v>0</v>
      </c>
      <c r="G5" s="41">
        <v>0</v>
      </c>
      <c r="H5" s="41">
        <v>0</v>
      </c>
      <c r="I5" s="38">
        <f>SUM(E5:H5)</f>
        <v>0</v>
      </c>
      <c r="J5" s="59">
        <v>0</v>
      </c>
      <c r="K5" s="39">
        <f>J5-I5</f>
        <v>0</v>
      </c>
      <c r="N5" s="35"/>
    </row>
    <row r="6" spans="1:22" s="3" customFormat="1" ht="15" hidden="1" customHeight="1">
      <c r="B6" s="236">
        <v>42648.691388888888</v>
      </c>
      <c r="C6" s="237">
        <v>42648.691388888888</v>
      </c>
      <c r="D6" s="46">
        <v>0</v>
      </c>
      <c r="E6" s="45">
        <v>0</v>
      </c>
      <c r="F6" s="41">
        <v>0</v>
      </c>
      <c r="G6" s="41">
        <v>0</v>
      </c>
      <c r="H6" s="41">
        <v>0</v>
      </c>
      <c r="I6" s="38">
        <v>-1</v>
      </c>
      <c r="J6" s="59">
        <v>0</v>
      </c>
      <c r="K6" s="39">
        <f>J6-I6</f>
        <v>1</v>
      </c>
      <c r="N6" s="35"/>
    </row>
  </sheetData>
  <sheetProtection password="88A1"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77"/>
  <sheetViews>
    <sheetView showGridLines="0" topLeftCell="A30" workbookViewId="0">
      <selection activeCell="E68" sqref="E68"/>
    </sheetView>
  </sheetViews>
  <sheetFormatPr defaultRowHeight="15"/>
  <cols>
    <col min="2" max="2" width="20.42578125" style="9" bestFit="1" customWidth="1"/>
    <col min="4" max="4" width="20.7109375" customWidth="1"/>
    <col min="6" max="6" width="16.7109375" customWidth="1"/>
    <col min="8" max="8" width="19.42578125" customWidth="1"/>
  </cols>
  <sheetData>
    <row r="2" spans="2:12">
      <c r="B2" s="47" t="s">
        <v>70</v>
      </c>
    </row>
    <row r="3" spans="2:12">
      <c r="B3" s="49" t="s">
        <v>71</v>
      </c>
    </row>
    <row r="4" spans="2:12">
      <c r="B4" s="49" t="s">
        <v>468</v>
      </c>
    </row>
    <row r="5" spans="2:12" s="48" customFormat="1">
      <c r="B5" s="49" t="s">
        <v>198</v>
      </c>
    </row>
    <row r="6" spans="2:12" s="48" customFormat="1">
      <c r="B6" s="49" t="s">
        <v>87</v>
      </c>
    </row>
    <row r="7" spans="2:12" s="48" customFormat="1">
      <c r="B7" s="49" t="s">
        <v>86</v>
      </c>
    </row>
    <row r="8" spans="2:12" s="48" customFormat="1">
      <c r="B8" s="49" t="s">
        <v>89</v>
      </c>
    </row>
    <row r="9" spans="2:12" s="48" customFormat="1">
      <c r="B9" s="64" t="s">
        <v>509</v>
      </c>
    </row>
    <row r="10" spans="2:12" s="48" customFormat="1">
      <c r="B10" s="64" t="s">
        <v>513</v>
      </c>
    </row>
    <row r="11" spans="2:12" s="48" customFormat="1">
      <c r="B11" s="64" t="s">
        <v>508</v>
      </c>
    </row>
    <row r="12" spans="2:12" s="48" customFormat="1">
      <c r="B12" s="49"/>
    </row>
    <row r="13" spans="2:12" s="48" customFormat="1">
      <c r="B13" s="47" t="s">
        <v>73</v>
      </c>
    </row>
    <row r="14" spans="2:12">
      <c r="B14" s="49" t="s">
        <v>91</v>
      </c>
      <c r="L14" s="49"/>
    </row>
    <row r="15" spans="2:12">
      <c r="B15" s="49" t="s">
        <v>92</v>
      </c>
    </row>
    <row r="16" spans="2:12">
      <c r="B16" s="49" t="s">
        <v>93</v>
      </c>
    </row>
    <row r="18" spans="2:2">
      <c r="B18" s="47" t="s">
        <v>189</v>
      </c>
    </row>
    <row r="19" spans="2:2">
      <c r="B19" s="64" t="s">
        <v>474</v>
      </c>
    </row>
    <row r="20" spans="2:2">
      <c r="B20" s="49" t="s">
        <v>187</v>
      </c>
    </row>
    <row r="21" spans="2:2">
      <c r="B21" s="49" t="s">
        <v>188</v>
      </c>
    </row>
    <row r="22" spans="2:2">
      <c r="B22" s="49" t="s">
        <v>190</v>
      </c>
    </row>
    <row r="23" spans="2:2">
      <c r="B23" s="49" t="s">
        <v>191</v>
      </c>
    </row>
    <row r="24" spans="2:2">
      <c r="B24" s="49" t="s">
        <v>192</v>
      </c>
    </row>
    <row r="25" spans="2:2">
      <c r="B25" s="49" t="s">
        <v>512</v>
      </c>
    </row>
    <row r="26" spans="2:2">
      <c r="B26" s="64" t="s">
        <v>475</v>
      </c>
    </row>
    <row r="28" spans="2:2">
      <c r="B28" s="47" t="s">
        <v>94</v>
      </c>
    </row>
    <row r="29" spans="2:2">
      <c r="B29" s="48" t="s">
        <v>95</v>
      </c>
    </row>
    <row r="30" spans="2:2">
      <c r="B30" s="48" t="s">
        <v>482</v>
      </c>
    </row>
    <row r="31" spans="2:2">
      <c r="B31" s="48" t="s">
        <v>96</v>
      </c>
    </row>
    <row r="33" spans="2:2">
      <c r="B33" s="47" t="s">
        <v>99</v>
      </c>
    </row>
    <row r="34" spans="2:2">
      <c r="B34" s="9" t="s">
        <v>116</v>
      </c>
    </row>
    <row r="35" spans="2:2">
      <c r="B35" s="9" t="s">
        <v>100</v>
      </c>
    </row>
    <row r="37" spans="2:2">
      <c r="B37" s="47" t="s">
        <v>101</v>
      </c>
    </row>
    <row r="38" spans="2:2">
      <c r="B38" s="9" t="s">
        <v>104</v>
      </c>
    </row>
    <row r="39" spans="2:2">
      <c r="B39" s="9" t="s">
        <v>102</v>
      </c>
    </row>
    <row r="40" spans="2:2">
      <c r="B40" s="9" t="s">
        <v>471</v>
      </c>
    </row>
    <row r="41" spans="2:2">
      <c r="B41" s="9" t="s">
        <v>515</v>
      </c>
    </row>
    <row r="42" spans="2:2">
      <c r="B42" s="9" t="s">
        <v>105</v>
      </c>
    </row>
    <row r="43" spans="2:2">
      <c r="B43" s="9" t="s">
        <v>103</v>
      </c>
    </row>
    <row r="44" spans="2:2">
      <c r="B44" s="9" t="s">
        <v>115</v>
      </c>
    </row>
    <row r="45" spans="2:2">
      <c r="B45" s="9" t="s">
        <v>106</v>
      </c>
    </row>
    <row r="46" spans="2:2">
      <c r="B46" s="9" t="s">
        <v>107</v>
      </c>
    </row>
    <row r="47" spans="2:2">
      <c r="B47" s="9" t="s">
        <v>485</v>
      </c>
    </row>
    <row r="48" spans="2:2">
      <c r="B48" s="9" t="s">
        <v>108</v>
      </c>
    </row>
    <row r="50" spans="2:8">
      <c r="B50" s="47" t="s">
        <v>109</v>
      </c>
      <c r="D50" s="47" t="s">
        <v>470</v>
      </c>
      <c r="F50" s="47" t="s">
        <v>476</v>
      </c>
      <c r="H50" s="48" t="e">
        <f>CONCATENATE("Valid",LEFT(ProjectSummary!C6,FIND(" ",ProjectSummary!C6)-1),"devs")</f>
        <v>#VALUE!</v>
      </c>
    </row>
    <row r="51" spans="2:8" s="9" customFormat="1">
      <c r="B51" s="294" t="s">
        <v>528</v>
      </c>
      <c r="D51" s="9" t="s">
        <v>472</v>
      </c>
      <c r="F51" s="9" t="s">
        <v>477</v>
      </c>
      <c r="H51" s="49"/>
    </row>
    <row r="52" spans="2:8">
      <c r="B52" s="9" t="s">
        <v>114</v>
      </c>
      <c r="D52" s="9" t="s">
        <v>471</v>
      </c>
      <c r="F52" s="9" t="s">
        <v>484</v>
      </c>
    </row>
    <row r="53" spans="2:8">
      <c r="B53" s="9" t="s">
        <v>112</v>
      </c>
      <c r="D53" s="9" t="s">
        <v>112</v>
      </c>
    </row>
    <row r="54" spans="2:8">
      <c r="B54" s="9" t="s">
        <v>111</v>
      </c>
      <c r="D54" s="9" t="s">
        <v>484</v>
      </c>
    </row>
    <row r="55" spans="2:8">
      <c r="B55" s="9" t="s">
        <v>484</v>
      </c>
      <c r="D55" s="9" t="s">
        <v>110</v>
      </c>
      <c r="F55" s="9"/>
    </row>
    <row r="56" spans="2:8">
      <c r="B56" s="9" t="s">
        <v>110</v>
      </c>
      <c r="D56" s="9" t="s">
        <v>473</v>
      </c>
      <c r="F56" s="9"/>
    </row>
    <row r="57" spans="2:8">
      <c r="B57" s="9" t="s">
        <v>113</v>
      </c>
      <c r="F57" s="9"/>
    </row>
    <row r="58" spans="2:8">
      <c r="B58" s="9" t="s">
        <v>516</v>
      </c>
      <c r="D58" s="9"/>
      <c r="F58" s="9"/>
    </row>
    <row r="59" spans="2:8">
      <c r="D59" s="9"/>
      <c r="F59" s="9"/>
    </row>
    <row r="60" spans="2:8">
      <c r="F60" s="9"/>
    </row>
    <row r="61" spans="2:8">
      <c r="B61" s="47" t="s">
        <v>59</v>
      </c>
    </row>
    <row r="62" spans="2:8">
      <c r="B62" s="49" t="s">
        <v>484</v>
      </c>
    </row>
    <row r="65" spans="2:7">
      <c r="B65" s="47" t="s">
        <v>195</v>
      </c>
    </row>
    <row r="66" spans="2:7">
      <c r="B66" s="9" t="s">
        <v>517</v>
      </c>
    </row>
    <row r="67" spans="2:7">
      <c r="B67" s="9" t="s">
        <v>518</v>
      </c>
    </row>
    <row r="68" spans="2:7">
      <c r="B68" s="9" t="s">
        <v>519</v>
      </c>
      <c r="G68" s="9"/>
    </row>
    <row r="69" spans="2:7">
      <c r="B69" s="9" t="s">
        <v>520</v>
      </c>
    </row>
    <row r="70" spans="2:7">
      <c r="B70" s="9" t="s">
        <v>521</v>
      </c>
    </row>
    <row r="71" spans="2:7">
      <c r="B71" s="9" t="s">
        <v>522</v>
      </c>
    </row>
    <row r="72" spans="2:7">
      <c r="B72" s="9" t="s">
        <v>523</v>
      </c>
    </row>
    <row r="73" spans="2:7">
      <c r="B73" s="9" t="s">
        <v>524</v>
      </c>
    </row>
    <row r="74" spans="2:7">
      <c r="B74" s="9" t="s">
        <v>527</v>
      </c>
    </row>
    <row r="75" spans="2:7">
      <c r="B75" s="9" t="s">
        <v>526</v>
      </c>
    </row>
    <row r="76" spans="2:7">
      <c r="B76" s="9" t="s">
        <v>525</v>
      </c>
    </row>
    <row r="77" spans="2:7">
      <c r="B77" s="9" t="s">
        <v>97</v>
      </c>
    </row>
  </sheetData>
  <sheetProtection password="88A1" sheet="1" objects="1" scenarios="1" selectLockedCells="1" sort="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2018-06-04T16:10:18Z</dcterms:modified>
</cp:coreProperties>
</file>