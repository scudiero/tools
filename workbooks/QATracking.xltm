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Y:\tools\workbooks\"/>
    </mc:Choice>
  </mc:AlternateContent>
  <bookViews>
    <workbookView xWindow="0" yWindow="0" windowWidth="28800" windowHeight="12435"/>
  </bookViews>
  <sheets>
    <sheet name="ProjectSummary" sheetId="9" r:id="rId1"/>
    <sheet name="TestingDetail-cim-courseadmin" sheetId="12" state="hidden" r:id="rId2"/>
    <sheet name="TestingDetail-cim-genedadmin" sheetId="20" state="hidden" r:id="rId3"/>
    <sheet name="TestingDetail-cim-programadmin" sheetId="16" state="hidden" r:id="rId4"/>
    <sheet name="TestingDetail-cim-miscadmin" sheetId="17" state="hidden" r:id="rId5"/>
    <sheet name="TestingDetail-cat-base" sheetId="18" state="hidden" r:id="rId6"/>
    <sheet name="TestingDetail-clss-base" sheetId="19" state="hidden" r:id="rId7"/>
    <sheet name="TimeTracking" sheetId="8" state="hidden" r:id="rId8"/>
    <sheet name="LookupValues" sheetId="11" state="hidden" r:id="rId9"/>
  </sheets>
  <functionGroups builtInGroupCount="18"/>
  <externalReferences>
    <externalReference r:id="rId10"/>
  </externalReferences>
  <definedNames>
    <definedName name="Attempted" localSheetId="8">OFFSET('[1]Time Tracking'!$H$6,0,0,COUNT('[1]Time Tracking'!$H:$H))</definedName>
    <definedName name="Attempted">OFFSET(TimeTracking!$I$6,0,0,COUNT(TimeTracking!$I:$I))</definedName>
    <definedName name="CAT">ProjectSummary!$D$40:$D$42</definedName>
    <definedName name="CIM">ProjectSummary!$C$40:$C$42</definedName>
    <definedName name="DateRange" localSheetId="8">OFFSET('[1]Time Tracking'!$C$6,0,0,COUNT('[1]Time Tracking'!$C:$C))</definedName>
    <definedName name="DateRange">OFFSET(TimeTracking!$C$6,0,0,COUNT(TimeTracking!$C:$C))</definedName>
    <definedName name="Defined" localSheetId="8">OFFSET('[1]Time Tracking'!$I$6,0,0,COUNT('[1]Time Tracking'!$I:$I))</definedName>
    <definedName name="Defined">OFFSET(TimeTracking!$J$6,0,0,COUNT(TimeTracking!$J:$J))</definedName>
    <definedName name="Failed" localSheetId="8">OFFSET('[1]Time Tracking'!$F$6,0,0,COUNT('[1]Time Tracking'!$F:$F))</definedName>
    <definedName name="Failed">OFFSET(TimeTracking!$F$6,0,0,COUNT(TimeTracking!$F:$F))</definedName>
    <definedName name="Other">OFFSET(TimeTracking!$H$6,0,0,COUNT(TimeTracking!$H:$H))</definedName>
    <definedName name="Passed" localSheetId="8">OFFSET('[1]Time Tracking'!$E$6,0,0,COUNT('[1]Time Tracking'!$E:$E))</definedName>
    <definedName name="Passed">OFFSET(TimeTracking!$E$6,0,0,COUNT(TimeTracking!$E:$E))</definedName>
    <definedName name="_xlnm.Print_Area" localSheetId="0">ProjectSummary!$A$1:$R$26</definedName>
    <definedName name="_xlnm.Print_Titles" localSheetId="5">'TestingDetail-cat-base'!$1:$2</definedName>
    <definedName name="_xlnm.Print_Titles" localSheetId="1">'TestingDetail-cim-courseadmin'!$1:$2</definedName>
    <definedName name="_xlnm.Print_Titles" localSheetId="2">'TestingDetail-cim-genedadmin'!$1:$2</definedName>
    <definedName name="_xlnm.Print_Titles" localSheetId="4">'TestingDetail-cim-miscadmin'!$1:$2</definedName>
    <definedName name="_xlnm.Print_Titles" localSheetId="3">'TestingDetail-cim-programadmin'!$1:$2</definedName>
    <definedName name="_xlnm.Print_Titles" localSheetId="6">'TestingDetail-clss-base'!$1:$2</definedName>
    <definedName name="ResourceUsed" localSheetId="8">OFFSET('[1]Time Tracking'!$D$6,0,0,COUNT('[1]Time Tracking'!$D:$D))</definedName>
    <definedName name="ResourceUsed">OFFSET(TimeTracking!$D$6,0,0,COUNT(TimeTracking!$D:$D))</definedName>
    <definedName name="ValidCATdevs">LookupValues!$D$49:$D$54</definedName>
    <definedName name="ValidCIMdevs">LookupValues!$B$49:$B$54</definedName>
    <definedName name="ValidCimFrontEndDevs">LookupValues!$B$57:$B$58</definedName>
    <definedName name="ValidCLSSdevs">LookupValues!$F$49:$F$51</definedName>
    <definedName name="ValidCSMs">LookupValues!$B$38:$B$46</definedName>
    <definedName name="ValidEnvs">LookupValues!$B$14:$B$16</definedName>
    <definedName name="ValidInstanceNames">LookupValues!$B$19:$B$26</definedName>
    <definedName name="ValidPhases">LookupValues!$B$61:$B$64</definedName>
    <definedName name="ValidProjectTypes">LookupValues!$B$29:$B$31</definedName>
    <definedName name="ValidStatus">LookupValues!$B$3:$B$11</definedName>
    <definedName name="ValidTesters">LookupValues!$B$34:$B$35</definedName>
    <definedName name="Waiting" localSheetId="8">OFFSET('[1]Time Tracking'!$G$6,0,0,COUNT('[1]Time Tracking'!$G:$G))</definedName>
    <definedName name="Waiting">OFFSET(TimeTracking!$G$6,0,0,COUNT(TimeTracking!$G:$G))</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06" i="20" l="1"/>
  <c r="C106" i="20"/>
  <c r="B106" i="20"/>
  <c r="A105" i="20"/>
  <c r="A104" i="20"/>
  <c r="E103" i="20"/>
  <c r="C103" i="20"/>
  <c r="B103" i="20"/>
  <c r="F102" i="20"/>
  <c r="A102" i="20"/>
  <c r="A101" i="20"/>
  <c r="E100" i="20"/>
  <c r="C100" i="20"/>
  <c r="B100" i="20"/>
  <c r="E98" i="20"/>
  <c r="C98" i="20"/>
  <c r="B98" i="20"/>
  <c r="E96" i="20"/>
  <c r="C96" i="20"/>
  <c r="B96" i="20"/>
  <c r="F95" i="20"/>
  <c r="E94" i="20"/>
  <c r="C94" i="20"/>
  <c r="B94" i="20"/>
  <c r="F93" i="20"/>
  <c r="E92" i="20"/>
  <c r="C92" i="20"/>
  <c r="B92" i="20"/>
  <c r="F91" i="20"/>
  <c r="A90" i="20"/>
  <c r="E89" i="20"/>
  <c r="C89" i="20"/>
  <c r="B89" i="20"/>
  <c r="E87" i="20"/>
  <c r="C87" i="20"/>
  <c r="B87" i="20"/>
  <c r="E85" i="20"/>
  <c r="C85" i="20"/>
  <c r="B85" i="20"/>
  <c r="E83" i="20"/>
  <c r="C83" i="20"/>
  <c r="B83" i="20"/>
  <c r="F82" i="20"/>
  <c r="E81" i="20"/>
  <c r="C81" i="20"/>
  <c r="B81" i="20"/>
  <c r="F80" i="20"/>
  <c r="E79" i="20"/>
  <c r="C79" i="20"/>
  <c r="B79" i="20"/>
  <c r="F78" i="20"/>
  <c r="E77" i="20"/>
  <c r="C77" i="20"/>
  <c r="B77" i="20"/>
  <c r="F76" i="20"/>
  <c r="A75" i="20"/>
  <c r="E74" i="20"/>
  <c r="C74" i="20"/>
  <c r="B74" i="20"/>
  <c r="E72" i="20"/>
  <c r="C72" i="20"/>
  <c r="B72" i="20"/>
  <c r="E70" i="20"/>
  <c r="C70" i="20"/>
  <c r="B70" i="20"/>
  <c r="E68" i="20"/>
  <c r="C68" i="20"/>
  <c r="B68" i="20"/>
  <c r="F67" i="20"/>
  <c r="E66" i="20"/>
  <c r="C66" i="20"/>
  <c r="B66" i="20"/>
  <c r="F65" i="20"/>
  <c r="E64" i="20"/>
  <c r="C64" i="20"/>
  <c r="B64" i="20"/>
  <c r="F63" i="20"/>
  <c r="E62" i="20"/>
  <c r="C62" i="20"/>
  <c r="B62" i="20"/>
  <c r="F61" i="20"/>
  <c r="E60" i="20"/>
  <c r="C60" i="20"/>
  <c r="B60" i="20"/>
  <c r="E58" i="20"/>
  <c r="C58" i="20"/>
  <c r="B58" i="20"/>
  <c r="A56" i="20"/>
  <c r="E55" i="20"/>
  <c r="C55" i="20"/>
  <c r="B55" i="20"/>
  <c r="E53" i="20"/>
  <c r="C53" i="20"/>
  <c r="B53" i="20"/>
  <c r="E51" i="20"/>
  <c r="C51" i="20"/>
  <c r="B51" i="20"/>
  <c r="F50" i="20"/>
  <c r="E49" i="20"/>
  <c r="C49" i="20"/>
  <c r="B49" i="20"/>
  <c r="F48" i="20"/>
  <c r="E47" i="20"/>
  <c r="C47" i="20"/>
  <c r="B47" i="20"/>
  <c r="F46" i="20"/>
  <c r="E45" i="20"/>
  <c r="C45" i="20"/>
  <c r="B45" i="20"/>
  <c r="F44" i="20"/>
  <c r="E43" i="20"/>
  <c r="C43" i="20"/>
  <c r="B43" i="20"/>
  <c r="E41" i="20"/>
  <c r="C41" i="20"/>
  <c r="B41" i="20"/>
  <c r="E39" i="20"/>
  <c r="C39" i="20"/>
  <c r="B39" i="20"/>
  <c r="F38" i="20"/>
  <c r="E37" i="20"/>
  <c r="C37" i="20"/>
  <c r="B37" i="20"/>
  <c r="F36" i="20"/>
  <c r="E35" i="20"/>
  <c r="C35" i="20"/>
  <c r="B35" i="20"/>
  <c r="F34" i="20"/>
  <c r="E33" i="20"/>
  <c r="C33" i="20"/>
  <c r="B33" i="20"/>
  <c r="F32" i="20"/>
  <c r="E31" i="20"/>
  <c r="C31" i="20"/>
  <c r="B31" i="20"/>
  <c r="E29" i="20"/>
  <c r="C29" i="20"/>
  <c r="B29" i="20"/>
  <c r="A27" i="20"/>
  <c r="E26" i="20"/>
  <c r="C26" i="20"/>
  <c r="B26" i="20"/>
  <c r="F25" i="20"/>
  <c r="E24" i="20"/>
  <c r="C24" i="20"/>
  <c r="B24" i="20"/>
  <c r="F23" i="20"/>
  <c r="E22" i="20"/>
  <c r="C22" i="20"/>
  <c r="B22" i="20"/>
  <c r="F21" i="20"/>
  <c r="E20" i="20"/>
  <c r="C20" i="20"/>
  <c r="B20" i="20"/>
  <c r="E18" i="20"/>
  <c r="C18" i="20"/>
  <c r="B18" i="20"/>
  <c r="F17" i="20"/>
  <c r="E16" i="20"/>
  <c r="C16" i="20"/>
  <c r="B16" i="20"/>
  <c r="E14" i="20"/>
  <c r="C14" i="20"/>
  <c r="B14" i="20"/>
  <c r="E12" i="20"/>
  <c r="E10" i="20"/>
  <c r="C10" i="20"/>
  <c r="B10" i="20"/>
  <c r="E8" i="20"/>
  <c r="C8" i="20"/>
  <c r="B8" i="20"/>
  <c r="E6" i="20"/>
  <c r="C6" i="20"/>
  <c r="B6" i="20"/>
  <c r="A4" i="20"/>
  <c r="A1" i="20"/>
  <c r="C42" i="9"/>
  <c r="C27" i="9"/>
  <c r="A5" i="20" l="1"/>
  <c r="A9" i="20" s="1"/>
  <c r="A7" i="20"/>
  <c r="A11" i="20" s="1"/>
  <c r="E88" i="16"/>
  <c r="C88" i="16"/>
  <c r="B88" i="16"/>
  <c r="A87" i="16"/>
  <c r="A86" i="16"/>
  <c r="E85" i="16"/>
  <c r="C85" i="16"/>
  <c r="B85" i="16"/>
  <c r="F84" i="16"/>
  <c r="A84" i="16"/>
  <c r="A83" i="16"/>
  <c r="E82" i="16"/>
  <c r="C82" i="16"/>
  <c r="B82" i="16"/>
  <c r="F81" i="16"/>
  <c r="E80" i="16"/>
  <c r="C80" i="16"/>
  <c r="B80" i="16"/>
  <c r="F79" i="16"/>
  <c r="E78" i="16"/>
  <c r="C78" i="16"/>
  <c r="B78" i="16"/>
  <c r="F77" i="16"/>
  <c r="A76" i="16"/>
  <c r="E75" i="16"/>
  <c r="C75" i="16"/>
  <c r="B75" i="16"/>
  <c r="E73" i="16"/>
  <c r="C73" i="16"/>
  <c r="B73" i="16"/>
  <c r="E71" i="16"/>
  <c r="C71" i="16"/>
  <c r="B71" i="16"/>
  <c r="F70" i="16"/>
  <c r="E69" i="16"/>
  <c r="C69" i="16"/>
  <c r="B69" i="16"/>
  <c r="F68" i="16"/>
  <c r="E67" i="16"/>
  <c r="C67" i="16"/>
  <c r="B67" i="16"/>
  <c r="F66" i="16"/>
  <c r="E65" i="16"/>
  <c r="C65" i="16"/>
  <c r="B65" i="16"/>
  <c r="F64" i="16"/>
  <c r="E63" i="16"/>
  <c r="C63" i="16"/>
  <c r="B63" i="16"/>
  <c r="E61" i="16"/>
  <c r="C61" i="16"/>
  <c r="B61" i="16"/>
  <c r="F60" i="16"/>
  <c r="E59" i="16"/>
  <c r="C59" i="16"/>
  <c r="B59" i="16"/>
  <c r="F58" i="16"/>
  <c r="A57" i="16"/>
  <c r="E56" i="16"/>
  <c r="C56" i="16"/>
  <c r="B56" i="16"/>
  <c r="F55" i="16"/>
  <c r="E54" i="16"/>
  <c r="C54" i="16"/>
  <c r="B54" i="16"/>
  <c r="E52" i="16"/>
  <c r="C52" i="16"/>
  <c r="B52" i="16"/>
  <c r="E50" i="16"/>
  <c r="C50" i="16"/>
  <c r="B50" i="16"/>
  <c r="F49" i="16"/>
  <c r="A48" i="16"/>
  <c r="E47" i="16"/>
  <c r="C47" i="16"/>
  <c r="B47" i="16"/>
  <c r="F46" i="16"/>
  <c r="E45" i="16"/>
  <c r="C45" i="16"/>
  <c r="B45" i="16"/>
  <c r="F44" i="16"/>
  <c r="E43" i="16"/>
  <c r="C43" i="16"/>
  <c r="B43" i="16"/>
  <c r="F42" i="16"/>
  <c r="E41" i="16"/>
  <c r="C41" i="16"/>
  <c r="B41" i="16"/>
  <c r="E39" i="16"/>
  <c r="C39" i="16"/>
  <c r="B39" i="16"/>
  <c r="E37" i="16"/>
  <c r="C37" i="16"/>
  <c r="B37" i="16"/>
  <c r="F36" i="16"/>
  <c r="E35" i="16"/>
  <c r="C35" i="16"/>
  <c r="B35" i="16"/>
  <c r="F34" i="16"/>
  <c r="E33" i="16"/>
  <c r="C33" i="16"/>
  <c r="B33" i="16"/>
  <c r="F32" i="16"/>
  <c r="E31" i="16"/>
  <c r="C31" i="16"/>
  <c r="B31" i="16"/>
  <c r="F30" i="16"/>
  <c r="E29" i="16"/>
  <c r="C29" i="16"/>
  <c r="B29" i="16"/>
  <c r="E27" i="16"/>
  <c r="C27" i="16"/>
  <c r="B27" i="16"/>
  <c r="A25" i="16"/>
  <c r="E24" i="16"/>
  <c r="C24" i="16"/>
  <c r="B24" i="16"/>
  <c r="F23" i="16"/>
  <c r="E22" i="16"/>
  <c r="C22" i="16"/>
  <c r="B22" i="16"/>
  <c r="F21" i="16"/>
  <c r="E20" i="16"/>
  <c r="C20" i="16"/>
  <c r="B20" i="16"/>
  <c r="F19" i="16"/>
  <c r="E18" i="16"/>
  <c r="C18" i="16"/>
  <c r="B18" i="16"/>
  <c r="E16" i="16"/>
  <c r="C16" i="16"/>
  <c r="B16" i="16"/>
  <c r="F15" i="16"/>
  <c r="E14" i="16"/>
  <c r="C14" i="16"/>
  <c r="B14" i="16"/>
  <c r="E12" i="16"/>
  <c r="C12" i="16"/>
  <c r="B12" i="16"/>
  <c r="E10" i="16"/>
  <c r="C10" i="16"/>
  <c r="B10" i="16"/>
  <c r="E8" i="16"/>
  <c r="C8" i="16"/>
  <c r="B8" i="16"/>
  <c r="E6" i="16"/>
  <c r="C6" i="16"/>
  <c r="B6" i="16"/>
  <c r="A5" i="16"/>
  <c r="E106" i="12"/>
  <c r="C106" i="12"/>
  <c r="B106" i="12"/>
  <c r="A105" i="12"/>
  <c r="A104" i="12"/>
  <c r="E103" i="12"/>
  <c r="C103" i="12"/>
  <c r="B103" i="12"/>
  <c r="F102" i="12"/>
  <c r="A102" i="12"/>
  <c r="A101" i="12"/>
  <c r="E100" i="12"/>
  <c r="C100" i="12"/>
  <c r="B100" i="12"/>
  <c r="E98" i="12"/>
  <c r="C98" i="12"/>
  <c r="B98" i="12"/>
  <c r="E96" i="12"/>
  <c r="C96" i="12"/>
  <c r="B96" i="12"/>
  <c r="F95" i="12"/>
  <c r="E94" i="12"/>
  <c r="C94" i="12"/>
  <c r="B94" i="12"/>
  <c r="F93" i="12"/>
  <c r="E92" i="12"/>
  <c r="C92" i="12"/>
  <c r="B92" i="12"/>
  <c r="F91" i="12"/>
  <c r="A90" i="12"/>
  <c r="E89" i="12"/>
  <c r="C89" i="12"/>
  <c r="B89" i="12"/>
  <c r="E87" i="12"/>
  <c r="C87" i="12"/>
  <c r="B87" i="12"/>
  <c r="E85" i="12"/>
  <c r="C85" i="12"/>
  <c r="B85" i="12"/>
  <c r="E83" i="12"/>
  <c r="C83" i="12"/>
  <c r="B83" i="12"/>
  <c r="F82" i="12"/>
  <c r="E81" i="12"/>
  <c r="C81" i="12"/>
  <c r="B81" i="12"/>
  <c r="F80" i="12"/>
  <c r="E79" i="12"/>
  <c r="C79" i="12"/>
  <c r="B79" i="12"/>
  <c r="F78" i="12"/>
  <c r="E77" i="12"/>
  <c r="C77" i="12"/>
  <c r="B77" i="12"/>
  <c r="F76" i="12"/>
  <c r="A75" i="12"/>
  <c r="E74" i="12"/>
  <c r="C74" i="12"/>
  <c r="B74" i="12"/>
  <c r="E72" i="12"/>
  <c r="C72" i="12"/>
  <c r="B72" i="12"/>
  <c r="E70" i="12"/>
  <c r="C70" i="12"/>
  <c r="B70" i="12"/>
  <c r="E68" i="12"/>
  <c r="C68" i="12"/>
  <c r="B68" i="12"/>
  <c r="F67" i="12"/>
  <c r="E66" i="12"/>
  <c r="C66" i="12"/>
  <c r="B66" i="12"/>
  <c r="F65" i="12"/>
  <c r="E64" i="12"/>
  <c r="C64" i="12"/>
  <c r="B64" i="12"/>
  <c r="F63" i="12"/>
  <c r="E62" i="12"/>
  <c r="C62" i="12"/>
  <c r="B62" i="12"/>
  <c r="F61" i="12"/>
  <c r="E60" i="12"/>
  <c r="C60" i="12"/>
  <c r="B60" i="12"/>
  <c r="E58" i="12"/>
  <c r="C58" i="12"/>
  <c r="B58" i="12"/>
  <c r="A56" i="12"/>
  <c r="E55" i="12"/>
  <c r="C55" i="12"/>
  <c r="B55" i="12"/>
  <c r="E53" i="12"/>
  <c r="C53" i="12"/>
  <c r="B53" i="12"/>
  <c r="E51" i="12"/>
  <c r="C51" i="12"/>
  <c r="B51" i="12"/>
  <c r="F50" i="12"/>
  <c r="E49" i="12"/>
  <c r="C49" i="12"/>
  <c r="B49" i="12"/>
  <c r="F48" i="12"/>
  <c r="E47" i="12"/>
  <c r="C47" i="12"/>
  <c r="B47" i="12"/>
  <c r="F46" i="12"/>
  <c r="E45" i="12"/>
  <c r="C45" i="12"/>
  <c r="B45" i="12"/>
  <c r="F44" i="12"/>
  <c r="E43" i="12"/>
  <c r="C43" i="12"/>
  <c r="B43" i="12"/>
  <c r="E41" i="12"/>
  <c r="C41" i="12"/>
  <c r="B41" i="12"/>
  <c r="E39" i="12"/>
  <c r="C39" i="12"/>
  <c r="B39" i="12"/>
  <c r="F38" i="12"/>
  <c r="E37" i="12"/>
  <c r="C37" i="12"/>
  <c r="B37" i="12"/>
  <c r="F36" i="12"/>
  <c r="E35" i="12"/>
  <c r="C35" i="12"/>
  <c r="B35" i="12"/>
  <c r="F34" i="12"/>
  <c r="E33" i="12"/>
  <c r="C33" i="12"/>
  <c r="B33" i="12"/>
  <c r="F32" i="12"/>
  <c r="E31" i="12"/>
  <c r="C31" i="12"/>
  <c r="B31" i="12"/>
  <c r="E29" i="12"/>
  <c r="C29" i="12"/>
  <c r="B29" i="12"/>
  <c r="A27" i="12"/>
  <c r="E26" i="12"/>
  <c r="C26" i="12"/>
  <c r="B26" i="12"/>
  <c r="F25" i="12"/>
  <c r="E24" i="12"/>
  <c r="C24" i="12"/>
  <c r="B24" i="12"/>
  <c r="F23" i="12"/>
  <c r="E22" i="12"/>
  <c r="C22" i="12"/>
  <c r="B22" i="12"/>
  <c r="F21" i="12"/>
  <c r="E20" i="12"/>
  <c r="C20" i="12"/>
  <c r="B20" i="12"/>
  <c r="E18" i="12"/>
  <c r="C18" i="12"/>
  <c r="B18" i="12"/>
  <c r="F17" i="12"/>
  <c r="E16" i="12"/>
  <c r="C16" i="12"/>
  <c r="B16" i="12"/>
  <c r="E14" i="12"/>
  <c r="C14" i="12"/>
  <c r="B14" i="12"/>
  <c r="E12" i="12"/>
  <c r="E10" i="12"/>
  <c r="C10" i="12"/>
  <c r="B10" i="12"/>
  <c r="E8" i="12"/>
  <c r="C8" i="12"/>
  <c r="B8" i="12"/>
  <c r="E6" i="12"/>
  <c r="C6" i="12"/>
  <c r="B6" i="12"/>
  <c r="A5" i="12"/>
  <c r="C18" i="9"/>
  <c r="C28" i="9"/>
  <c r="C21" i="9"/>
  <c r="C24" i="9"/>
  <c r="C20" i="9"/>
  <c r="D27" i="9" l="1"/>
  <c r="A13" i="20"/>
  <c r="A7" i="16"/>
  <c r="A9" i="16"/>
  <c r="A11" i="16"/>
  <c r="A7" i="12"/>
  <c r="A9" i="12"/>
  <c r="A15" i="20" l="1"/>
  <c r="A13" i="16"/>
  <c r="A11" i="12"/>
  <c r="A13" i="12"/>
  <c r="A19" i="20" l="1"/>
  <c r="A17" i="20"/>
  <c r="A15" i="16"/>
  <c r="A15" i="12"/>
  <c r="A21" i="20" l="1"/>
  <c r="A17" i="16"/>
  <c r="A19" i="16"/>
  <c r="A17" i="12"/>
  <c r="A25" i="20" l="1"/>
  <c r="A23" i="20"/>
  <c r="A21" i="16"/>
  <c r="A23" i="16"/>
  <c r="A19" i="12"/>
  <c r="A21" i="12"/>
  <c r="A28" i="20" l="1"/>
  <c r="A26" i="16"/>
  <c r="A23" i="12"/>
  <c r="A30" i="20" l="1"/>
  <c r="A32" i="20" s="1"/>
  <c r="A34" i="20" s="1"/>
  <c r="A36" i="20" s="1"/>
  <c r="A38" i="20" s="1"/>
  <c r="A40" i="20" s="1"/>
  <c r="A42" i="20" s="1"/>
  <c r="A44" i="20" s="1"/>
  <c r="A46" i="20" s="1"/>
  <c r="A48" i="20" s="1"/>
  <c r="A50" i="20" s="1"/>
  <c r="A28" i="16"/>
  <c r="A25" i="12"/>
  <c r="A57" i="20" l="1"/>
  <c r="A52" i="20"/>
  <c r="A54" i="20" s="1"/>
  <c r="A30" i="16"/>
  <c r="A28" i="12"/>
  <c r="A59" i="20" l="1"/>
  <c r="A61" i="20" s="1"/>
  <c r="A63" i="20" s="1"/>
  <c r="A65" i="20" s="1"/>
  <c r="A32" i="16"/>
  <c r="A34" i="16" s="1"/>
  <c r="A36" i="16" s="1"/>
  <c r="A38" i="16" s="1"/>
  <c r="A40" i="16" s="1"/>
  <c r="A42" i="16" s="1"/>
  <c r="A44" i="16" s="1"/>
  <c r="A46" i="16" s="1"/>
  <c r="A49" i="16" s="1"/>
  <c r="A51" i="16" s="1"/>
  <c r="A53" i="16" s="1"/>
  <c r="A55" i="16" s="1"/>
  <c r="A58" i="16" s="1"/>
  <c r="A60" i="16" s="1"/>
  <c r="A62" i="16" s="1"/>
  <c r="A64" i="16" s="1"/>
  <c r="A66" i="16" s="1"/>
  <c r="A68" i="16" s="1"/>
  <c r="A70" i="16" s="1"/>
  <c r="A72" i="16" s="1"/>
  <c r="A74" i="16" s="1"/>
  <c r="A77" i="16" s="1"/>
  <c r="A79" i="16" s="1"/>
  <c r="A81" i="16" s="1"/>
  <c r="A30" i="12"/>
  <c r="A32" i="12" s="1"/>
  <c r="A34" i="12" s="1"/>
  <c r="A36" i="12" s="1"/>
  <c r="A38" i="12" s="1"/>
  <c r="A40" i="12" s="1"/>
  <c r="A42" i="12" s="1"/>
  <c r="A44" i="12" s="1"/>
  <c r="A46" i="12" s="1"/>
  <c r="A48" i="12" s="1"/>
  <c r="A50" i="12" s="1"/>
  <c r="A71" i="20" l="1"/>
  <c r="A67" i="20"/>
  <c r="A69" i="20" s="1"/>
  <c r="A52" i="12"/>
  <c r="A54" i="12" s="1"/>
  <c r="A57" i="12"/>
  <c r="A59" i="12" s="1"/>
  <c r="A61" i="12" s="1"/>
  <c r="A63" i="12" s="1"/>
  <c r="A65" i="12" s="1"/>
  <c r="A73" i="20" l="1"/>
  <c r="A76" i="20" s="1"/>
  <c r="A78" i="20" s="1"/>
  <c r="A80" i="20" s="1"/>
  <c r="A67" i="12"/>
  <c r="A69" i="12" s="1"/>
  <c r="A71" i="12"/>
  <c r="A73" i="12" s="1"/>
  <c r="A76" i="12" s="1"/>
  <c r="A78" i="12" s="1"/>
  <c r="A80" i="12" s="1"/>
  <c r="A82" i="20" l="1"/>
  <c r="A84" i="20" s="1"/>
  <c r="A86" i="20"/>
  <c r="A88" i="20" s="1"/>
  <c r="A91" i="20" s="1"/>
  <c r="A93" i="20" s="1"/>
  <c r="A82" i="12"/>
  <c r="A84" i="12" s="1"/>
  <c r="A86" i="12"/>
  <c r="A95" i="20" l="1"/>
  <c r="A97" i="20" s="1"/>
  <c r="A99" i="20"/>
  <c r="A88" i="12"/>
  <c r="A91" i="12" s="1"/>
  <c r="A93" i="12" s="1"/>
  <c r="A99" i="12" l="1"/>
  <c r="A95" i="12"/>
  <c r="A97" i="12" s="1"/>
  <c r="H48" i="11" l="1"/>
  <c r="C41" i="9"/>
  <c r="C23" i="9"/>
  <c r="C40" i="9"/>
  <c r="C17" i="9"/>
  <c r="C22" i="9"/>
  <c r="A4" i="18" l="1"/>
  <c r="A4" i="17"/>
  <c r="A4" i="12"/>
  <c r="A4" i="16"/>
  <c r="C130" i="19"/>
  <c r="B130" i="19"/>
  <c r="A117" i="19"/>
  <c r="A112" i="19"/>
  <c r="A105" i="19"/>
  <c r="A90" i="19"/>
  <c r="A81" i="19"/>
  <c r="C47" i="19"/>
  <c r="B47" i="19"/>
  <c r="A48" i="19"/>
  <c r="A31" i="19"/>
  <c r="C125" i="19"/>
  <c r="B125" i="19"/>
  <c r="F124" i="19"/>
  <c r="C123" i="19"/>
  <c r="B123" i="19"/>
  <c r="C121" i="19"/>
  <c r="B121" i="19"/>
  <c r="C119" i="19"/>
  <c r="B119" i="19"/>
  <c r="F118" i="19"/>
  <c r="C116" i="19"/>
  <c r="B116" i="19"/>
  <c r="F115" i="19"/>
  <c r="C114" i="19"/>
  <c r="B114" i="19"/>
  <c r="F113" i="19"/>
  <c r="C111" i="19"/>
  <c r="B111" i="19"/>
  <c r="F110" i="19"/>
  <c r="C109" i="19"/>
  <c r="B109" i="19"/>
  <c r="C107" i="19"/>
  <c r="B107" i="19"/>
  <c r="C104" i="19"/>
  <c r="B104" i="19"/>
  <c r="F103" i="19"/>
  <c r="C102" i="19"/>
  <c r="B102" i="19"/>
  <c r="F101" i="19"/>
  <c r="C100" i="19"/>
  <c r="B100" i="19"/>
  <c r="F99" i="19"/>
  <c r="C98" i="19"/>
  <c r="B98" i="19"/>
  <c r="F97" i="19"/>
  <c r="C96" i="19"/>
  <c r="B96" i="19"/>
  <c r="C94" i="19"/>
  <c r="B94" i="19"/>
  <c r="C92" i="19"/>
  <c r="B92" i="19"/>
  <c r="F91" i="19"/>
  <c r="C89" i="19"/>
  <c r="B89" i="19"/>
  <c r="F88" i="19"/>
  <c r="C87" i="19"/>
  <c r="B87" i="19"/>
  <c r="F86" i="19"/>
  <c r="C85" i="19"/>
  <c r="B85" i="19"/>
  <c r="F84" i="19"/>
  <c r="C83" i="19"/>
  <c r="B83" i="19"/>
  <c r="C80" i="19"/>
  <c r="B80" i="19"/>
  <c r="F79" i="19"/>
  <c r="C78" i="19"/>
  <c r="B78" i="19"/>
  <c r="C76" i="19"/>
  <c r="B76" i="19"/>
  <c r="C74" i="19"/>
  <c r="B74" i="19"/>
  <c r="C72" i="19"/>
  <c r="B72" i="19"/>
  <c r="C70" i="19"/>
  <c r="B70" i="19"/>
  <c r="A129" i="18"/>
  <c r="A124" i="18"/>
  <c r="A117" i="18"/>
  <c r="C139" i="18"/>
  <c r="B139" i="18"/>
  <c r="C137" i="18"/>
  <c r="B137" i="18"/>
  <c r="F136" i="18"/>
  <c r="C135" i="18"/>
  <c r="B135" i="18"/>
  <c r="F134" i="18"/>
  <c r="C133" i="18"/>
  <c r="B133" i="18"/>
  <c r="F132" i="18"/>
  <c r="C131" i="18"/>
  <c r="B131" i="18"/>
  <c r="F130" i="18"/>
  <c r="C128" i="18"/>
  <c r="B128" i="18"/>
  <c r="C126" i="18"/>
  <c r="B126" i="18"/>
  <c r="C123" i="18"/>
  <c r="B123" i="18"/>
  <c r="C121" i="18"/>
  <c r="B121" i="18"/>
  <c r="F120" i="18"/>
  <c r="C119" i="18"/>
  <c r="B119" i="18"/>
  <c r="F118" i="18"/>
  <c r="C116" i="18"/>
  <c r="B116" i="18"/>
  <c r="F115" i="18"/>
  <c r="C114" i="18"/>
  <c r="B114" i="18"/>
  <c r="F113" i="18"/>
  <c r="C112" i="18"/>
  <c r="B112" i="18"/>
  <c r="C110" i="18"/>
  <c r="B110" i="18"/>
  <c r="C108" i="18"/>
  <c r="B108" i="18"/>
  <c r="F107" i="18"/>
  <c r="C106" i="18"/>
  <c r="B106" i="18"/>
  <c r="F105" i="18"/>
  <c r="C104" i="18"/>
  <c r="B104" i="18"/>
  <c r="F103" i="18"/>
  <c r="C102" i="18"/>
  <c r="B102" i="18"/>
  <c r="F101" i="18"/>
  <c r="C100" i="18"/>
  <c r="B100" i="18"/>
  <c r="A72" i="18"/>
  <c r="A59" i="18"/>
  <c r="A34" i="18"/>
  <c r="A19" i="18"/>
  <c r="C98" i="18"/>
  <c r="B98" i="18"/>
  <c r="C96" i="18"/>
  <c r="B96" i="18"/>
  <c r="C94" i="18"/>
  <c r="B94" i="18"/>
  <c r="F93" i="18"/>
  <c r="C92" i="18"/>
  <c r="B92" i="18"/>
  <c r="F91" i="18"/>
  <c r="C90" i="18"/>
  <c r="B90" i="18"/>
  <c r="F89" i="18"/>
  <c r="C88" i="18"/>
  <c r="B88" i="18"/>
  <c r="F87" i="18"/>
  <c r="C86" i="18"/>
  <c r="B86" i="18"/>
  <c r="C84" i="18"/>
  <c r="B84" i="18"/>
  <c r="C82" i="18"/>
  <c r="B82" i="18"/>
  <c r="F81" i="18"/>
  <c r="C80" i="18"/>
  <c r="B80" i="18"/>
  <c r="F79" i="18"/>
  <c r="C78" i="18"/>
  <c r="B78" i="18"/>
  <c r="F77" i="18"/>
  <c r="C76" i="18"/>
  <c r="B76" i="18"/>
  <c r="F75" i="18"/>
  <c r="C74" i="18"/>
  <c r="B74" i="18"/>
  <c r="C71" i="18"/>
  <c r="B71" i="18"/>
  <c r="C69" i="18"/>
  <c r="B69" i="18"/>
  <c r="C67" i="18"/>
  <c r="B67" i="18"/>
  <c r="A51" i="17"/>
  <c r="A44" i="17"/>
  <c r="A23" i="17"/>
  <c r="C63" i="17"/>
  <c r="B63" i="17"/>
  <c r="F62" i="17"/>
  <c r="C61" i="17"/>
  <c r="B61" i="17"/>
  <c r="F60" i="17"/>
  <c r="C59" i="17"/>
  <c r="B59" i="17"/>
  <c r="F58" i="17"/>
  <c r="C57" i="17"/>
  <c r="B57" i="17"/>
  <c r="F56" i="17"/>
  <c r="C55" i="17"/>
  <c r="B55" i="17"/>
  <c r="C53" i="17"/>
  <c r="B53" i="17"/>
  <c r="F52" i="17"/>
  <c r="A1" i="19"/>
  <c r="C133" i="19"/>
  <c r="B133" i="19"/>
  <c r="A131" i="19"/>
  <c r="C128" i="19"/>
  <c r="B128" i="19"/>
  <c r="F127" i="19"/>
  <c r="A126" i="19"/>
  <c r="C68" i="19"/>
  <c r="B68" i="19"/>
  <c r="C66" i="19"/>
  <c r="B66" i="19"/>
  <c r="F65" i="19"/>
  <c r="C64" i="19"/>
  <c r="B64" i="19"/>
  <c r="F63" i="19"/>
  <c r="C62" i="19"/>
  <c r="B62" i="19"/>
  <c r="F61" i="19"/>
  <c r="C60" i="19"/>
  <c r="B60" i="19"/>
  <c r="F59" i="19"/>
  <c r="C58" i="19"/>
  <c r="B58" i="19"/>
  <c r="C56" i="19"/>
  <c r="B56" i="19"/>
  <c r="C54" i="19"/>
  <c r="B54" i="19"/>
  <c r="F53" i="19"/>
  <c r="C52" i="19"/>
  <c r="B52" i="19"/>
  <c r="F51" i="19"/>
  <c r="C50" i="19"/>
  <c r="B50" i="19"/>
  <c r="F49" i="19"/>
  <c r="C45" i="19"/>
  <c r="B45" i="19"/>
  <c r="F44" i="19"/>
  <c r="C43" i="19"/>
  <c r="B43" i="19"/>
  <c r="C41" i="19"/>
  <c r="B41" i="19"/>
  <c r="C39" i="19"/>
  <c r="B39" i="19"/>
  <c r="F38" i="19"/>
  <c r="C37" i="19"/>
  <c r="B37" i="19"/>
  <c r="F36" i="19"/>
  <c r="C35" i="19"/>
  <c r="B35" i="19"/>
  <c r="F34" i="19"/>
  <c r="C33" i="19"/>
  <c r="B33" i="19"/>
  <c r="F32" i="19"/>
  <c r="C30" i="19"/>
  <c r="B30" i="19"/>
  <c r="C28" i="19"/>
  <c r="B28" i="19"/>
  <c r="C26" i="19"/>
  <c r="B26" i="19"/>
  <c r="F25" i="19"/>
  <c r="C24" i="19"/>
  <c r="B24" i="19"/>
  <c r="F23" i="19"/>
  <c r="C22" i="19"/>
  <c r="B22" i="19"/>
  <c r="F21" i="19"/>
  <c r="C20" i="19"/>
  <c r="B20" i="19"/>
  <c r="F19" i="19"/>
  <c r="C18" i="19"/>
  <c r="B18" i="19"/>
  <c r="C16" i="19"/>
  <c r="B16" i="19"/>
  <c r="F15" i="19"/>
  <c r="C14" i="19"/>
  <c r="B14" i="19"/>
  <c r="C12" i="19"/>
  <c r="B12" i="19"/>
  <c r="C10" i="19"/>
  <c r="B10" i="19"/>
  <c r="C8" i="19"/>
  <c r="B8" i="19"/>
  <c r="C6" i="19"/>
  <c r="B6" i="19"/>
  <c r="A5" i="19"/>
  <c r="A132" i="19" s="1"/>
  <c r="C145" i="18"/>
  <c r="B145" i="18"/>
  <c r="A143" i="18"/>
  <c r="C142" i="18"/>
  <c r="B142" i="18"/>
  <c r="F141" i="18"/>
  <c r="A141" i="18"/>
  <c r="A140" i="18"/>
  <c r="C65" i="18"/>
  <c r="B65" i="18"/>
  <c r="C63" i="18"/>
  <c r="B63" i="18"/>
  <c r="F62" i="18"/>
  <c r="C61" i="18"/>
  <c r="B61" i="18"/>
  <c r="F60" i="18"/>
  <c r="C58" i="18"/>
  <c r="B58" i="18"/>
  <c r="F57" i="18"/>
  <c r="C56" i="18"/>
  <c r="B56" i="18"/>
  <c r="F55" i="18"/>
  <c r="C54" i="18"/>
  <c r="B54" i="18"/>
  <c r="C52" i="18"/>
  <c r="B52" i="18"/>
  <c r="C50" i="18"/>
  <c r="B50" i="18"/>
  <c r="F49" i="18"/>
  <c r="C48" i="18"/>
  <c r="B48" i="18"/>
  <c r="F47" i="18"/>
  <c r="C46" i="18"/>
  <c r="B46" i="18"/>
  <c r="F45" i="18"/>
  <c r="C44" i="18"/>
  <c r="B44" i="18"/>
  <c r="F43" i="18"/>
  <c r="C42" i="18"/>
  <c r="B42" i="18"/>
  <c r="C40" i="18"/>
  <c r="B40" i="18"/>
  <c r="C38" i="18"/>
  <c r="B38" i="18"/>
  <c r="F37" i="18"/>
  <c r="C36" i="18"/>
  <c r="B36" i="18"/>
  <c r="F35" i="18"/>
  <c r="C33" i="18"/>
  <c r="B33" i="18"/>
  <c r="F32" i="18"/>
  <c r="C31" i="18"/>
  <c r="B31" i="18"/>
  <c r="C29" i="18"/>
  <c r="B29" i="18"/>
  <c r="C27" i="18"/>
  <c r="B27" i="18"/>
  <c r="F26" i="18"/>
  <c r="C25" i="18"/>
  <c r="B25" i="18"/>
  <c r="F24" i="18"/>
  <c r="C23" i="18"/>
  <c r="B23" i="18"/>
  <c r="F22" i="18"/>
  <c r="C21" i="18"/>
  <c r="B21" i="18"/>
  <c r="F20" i="18"/>
  <c r="C18" i="18"/>
  <c r="B18" i="18"/>
  <c r="C16" i="18"/>
  <c r="B16" i="18"/>
  <c r="F15" i="18"/>
  <c r="C14" i="18"/>
  <c r="B14" i="18"/>
  <c r="C12" i="18"/>
  <c r="B12" i="18"/>
  <c r="C10" i="18"/>
  <c r="B10" i="18"/>
  <c r="C8" i="18"/>
  <c r="B8" i="18"/>
  <c r="C6" i="18"/>
  <c r="B6" i="18"/>
  <c r="A5" i="18"/>
  <c r="A1" i="18"/>
  <c r="C69" i="17"/>
  <c r="B69" i="17"/>
  <c r="A67" i="17"/>
  <c r="C66" i="17"/>
  <c r="B66" i="17"/>
  <c r="F65" i="17"/>
  <c r="A65" i="17"/>
  <c r="A64" i="17"/>
  <c r="C50" i="17"/>
  <c r="B50" i="17"/>
  <c r="C48" i="17"/>
  <c r="B48" i="17"/>
  <c r="F47" i="17"/>
  <c r="C46" i="17"/>
  <c r="B46" i="17"/>
  <c r="F45" i="17"/>
  <c r="C43" i="17"/>
  <c r="B43" i="17"/>
  <c r="C41" i="17"/>
  <c r="B41" i="17"/>
  <c r="C39" i="17"/>
  <c r="B39" i="17"/>
  <c r="F38" i="17"/>
  <c r="C37" i="17"/>
  <c r="B37" i="17"/>
  <c r="F36" i="17"/>
  <c r="C35" i="17"/>
  <c r="B35" i="17"/>
  <c r="F34" i="17"/>
  <c r="C33" i="17"/>
  <c r="B33" i="17"/>
  <c r="F32" i="17"/>
  <c r="C31" i="17"/>
  <c r="B31" i="17"/>
  <c r="C29" i="17"/>
  <c r="B29" i="17"/>
  <c r="C27" i="17"/>
  <c r="B27" i="17"/>
  <c r="F26" i="17"/>
  <c r="C25" i="17"/>
  <c r="B25" i="17"/>
  <c r="F24" i="17"/>
  <c r="C22" i="17"/>
  <c r="B22" i="17"/>
  <c r="F21" i="17"/>
  <c r="C20" i="17"/>
  <c r="B20" i="17"/>
  <c r="F19" i="17"/>
  <c r="C18" i="17"/>
  <c r="B18" i="17"/>
  <c r="C16" i="17"/>
  <c r="B16" i="17"/>
  <c r="F15" i="17"/>
  <c r="C14" i="17"/>
  <c r="B14" i="17"/>
  <c r="C12" i="17"/>
  <c r="B12" i="17"/>
  <c r="C10" i="17"/>
  <c r="B10" i="17"/>
  <c r="C8" i="17"/>
  <c r="B8" i="17"/>
  <c r="C6" i="17"/>
  <c r="B6" i="17"/>
  <c r="A5" i="17"/>
  <c r="A68" i="17" s="1"/>
  <c r="A1" i="17"/>
  <c r="A1" i="16"/>
  <c r="A7" i="19" l="1"/>
  <c r="A7" i="18"/>
  <c r="A7" i="17"/>
  <c r="A144" i="18"/>
  <c r="A9" i="19" l="1"/>
  <c r="A9" i="18"/>
  <c r="A11" i="18" s="1"/>
  <c r="A9" i="17"/>
  <c r="A11" i="17" s="1"/>
  <c r="A11" i="19" l="1"/>
  <c r="A13" i="18"/>
  <c r="A13" i="17"/>
  <c r="A13" i="19" l="1"/>
  <c r="A15" i="18"/>
  <c r="A15" i="17"/>
  <c r="B1" i="9"/>
  <c r="A15" i="19" l="1"/>
  <c r="A17" i="18"/>
  <c r="A17" i="17"/>
  <c r="B2" i="9"/>
  <c r="D1" i="9"/>
  <c r="C1" i="20" s="1"/>
  <c r="A1" i="12"/>
  <c r="B1" i="8"/>
  <c r="C1" i="18" l="1"/>
  <c r="C1" i="17"/>
  <c r="C1" i="19"/>
  <c r="C1" i="16"/>
  <c r="A17" i="19"/>
  <c r="A19" i="19" s="1"/>
  <c r="A20" i="18"/>
  <c r="A22" i="18" s="1"/>
  <c r="A19" i="17"/>
  <c r="D1" i="8"/>
  <c r="C1" i="12"/>
  <c r="A24" i="18" l="1"/>
  <c r="A26" i="18" s="1"/>
  <c r="A21" i="19"/>
  <c r="A23" i="19" s="1"/>
  <c r="A21" i="17"/>
  <c r="A24" i="17" s="1"/>
  <c r="C32" i="9"/>
  <c r="C33" i="9" s="1"/>
  <c r="A25" i="19" l="1"/>
  <c r="A28" i="18"/>
  <c r="A30" i="18" s="1"/>
  <c r="A26" i="17"/>
  <c r="A27" i="19" l="1"/>
  <c r="A32" i="18"/>
  <c r="A28" i="17"/>
  <c r="A29" i="19" l="1"/>
  <c r="A35" i="18"/>
  <c r="A30" i="17"/>
  <c r="A32" i="19" l="1"/>
  <c r="A37" i="18"/>
  <c r="A32" i="17"/>
  <c r="A34" i="19" l="1"/>
  <c r="A39" i="18"/>
  <c r="A34" i="17"/>
  <c r="A36" i="19" l="1"/>
  <c r="A41" i="18"/>
  <c r="A36" i="17"/>
  <c r="A38" i="19" l="1"/>
  <c r="A43" i="18"/>
  <c r="A38" i="17"/>
  <c r="A40" i="19" l="1"/>
  <c r="A45" i="18"/>
  <c r="A40" i="17"/>
  <c r="C25" i="9"/>
  <c r="C26" i="9"/>
  <c r="A42" i="19" l="1"/>
  <c r="A47" i="18"/>
  <c r="A42" i="17"/>
  <c r="K6" i="8"/>
  <c r="I5" i="8"/>
  <c r="K5" i="8" s="1"/>
  <c r="A44" i="19" l="1"/>
  <c r="A49" i="18"/>
  <c r="A45" i="17"/>
  <c r="D21" i="9"/>
  <c r="C19" i="9"/>
  <c r="D19" i="9" s="1"/>
  <c r="D20" i="9"/>
  <c r="D18" i="9"/>
  <c r="D24" i="9"/>
  <c r="A49" i="19" l="1"/>
  <c r="A46" i="19"/>
  <c r="A51" i="18"/>
  <c r="A47" i="17"/>
  <c r="A51" i="19" l="1"/>
  <c r="A53" i="18"/>
  <c r="A49" i="17"/>
  <c r="A53" i="19" l="1"/>
  <c r="A55" i="18"/>
  <c r="A52" i="17"/>
  <c r="A55" i="19" l="1"/>
  <c r="A57" i="18"/>
  <c r="A54" i="17"/>
  <c r="A57" i="19" l="1"/>
  <c r="A60" i="18"/>
  <c r="A56" i="17"/>
  <c r="A59" i="19" l="1"/>
  <c r="A62" i="18"/>
  <c r="A58" i="17"/>
  <c r="A61" i="19" l="1"/>
  <c r="A64" i="18"/>
  <c r="A60" i="17"/>
  <c r="A63" i="19" l="1"/>
  <c r="A66" i="18"/>
  <c r="A62" i="17"/>
  <c r="A65" i="19" l="1"/>
  <c r="A68" i="18"/>
  <c r="A67" i="19" l="1"/>
  <c r="A70" i="18"/>
  <c r="A69" i="19" l="1"/>
  <c r="A73" i="18"/>
  <c r="A71" i="19" l="1"/>
  <c r="A75" i="18"/>
  <c r="A73" i="19" l="1"/>
  <c r="A77" i="18"/>
  <c r="A75" i="19" l="1"/>
  <c r="A79" i="18"/>
  <c r="A77" i="19" l="1"/>
  <c r="A81" i="18"/>
  <c r="A79" i="19" l="1"/>
  <c r="A83" i="18"/>
  <c r="A82" i="19" l="1"/>
  <c r="A85" i="18"/>
  <c r="A84" i="19" l="1"/>
  <c r="A87" i="18"/>
  <c r="A86" i="19" l="1"/>
  <c r="A89" i="18"/>
  <c r="A88" i="19" l="1"/>
  <c r="A91" i="18"/>
  <c r="A91" i="19" l="1"/>
  <c r="A93" i="18"/>
  <c r="A93" i="19" l="1"/>
  <c r="A95" i="18"/>
  <c r="A95" i="19" l="1"/>
  <c r="A97" i="18"/>
  <c r="A97" i="19" l="1"/>
  <c r="A99" i="18"/>
  <c r="A99" i="19" l="1"/>
  <c r="A101" i="18"/>
  <c r="A101" i="19" l="1"/>
  <c r="A103" i="18"/>
  <c r="A103" i="19" l="1"/>
  <c r="A105" i="18"/>
  <c r="A106" i="19" l="1"/>
  <c r="A107" i="18"/>
  <c r="A108" i="19" l="1"/>
  <c r="A109" i="18"/>
  <c r="A110" i="19" l="1"/>
  <c r="A111" i="18"/>
  <c r="A113" i="19" l="1"/>
  <c r="A113" i="18"/>
  <c r="A115" i="19" l="1"/>
  <c r="A115" i="18"/>
  <c r="A118" i="19" l="1"/>
  <c r="A118" i="18"/>
  <c r="A120" i="19" l="1"/>
  <c r="A120" i="18"/>
  <c r="A122" i="19" l="1"/>
  <c r="A122" i="18"/>
  <c r="A124" i="19" l="1"/>
  <c r="A125" i="18"/>
  <c r="A127" i="19" l="1"/>
  <c r="A127" i="18"/>
  <c r="A129" i="19" l="1"/>
  <c r="A130" i="18"/>
  <c r="A132" i="18" l="1"/>
  <c r="A134" i="18" l="1"/>
  <c r="A136" i="18" l="1"/>
  <c r="A138" i="18" l="1"/>
</calcChain>
</file>

<file path=xl/comments1.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2.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3.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sharedStrings.xml><?xml version="1.0" encoding="utf-8"?>
<sst xmlns="http://schemas.openxmlformats.org/spreadsheetml/2006/main" count="986" uniqueCount="523">
  <si>
    <t>Pass Criteria</t>
  </si>
  <si>
    <t>Web Design</t>
  </si>
  <si>
    <t>School color, logo, etc. should appear on main screen and on edit, new, and deactivate forms. Icon should appear on tab in browser.</t>
  </si>
  <si>
    <t>Search for "*". The results should match up with the courses that appear within /clienttransfers/cimcourses/cl_scbrse.txt, or other such file appropriate to different SIS. Pay attention to first and last entry in said file.</t>
  </si>
  <si>
    <t>Select a course, note its key. Search for that key, ensure that the correct course appears within search results.</t>
  </si>
  <si>
    <t>Select a course, note its title. Search for that title, ensure that the correct course appears within search results.</t>
  </si>
  <si>
    <t>Select a course, note its course code. Search for that course code, ensure that the correct course appears within search results.</t>
  </si>
  <si>
    <t>Search for a small amount of letters surrounded by asterisks (e.g.: *dance*). Ensure the correct course appears within search results.</t>
  </si>
  <si>
    <t>Select every quick search option. Ensure the results of said quick searches are accurate. For example, if there are no deactivated courses, expect no results for the "Deactivated Courses" search.</t>
  </si>
  <si>
    <t>Open the course picker tool. Selecting a college, then a department should yield results. When a course is selected, then the appropriate code and title should appear in the editrec.</t>
  </si>
  <si>
    <t>If a CIP Picker is on the form, ensure that clicking the link of the tool brings up a new window. Selecting a category from the drop-down in the new window should yield results. Using the search feature for something such as "math" should yield results as well.</t>
  </si>
  <si>
    <t>On the editrec, click the "remove" link on an attachment, then save the proposal. Ensure that the file is removed from the key folder, and that the link for that attachment no longer appears in the showrec or the editrec.</t>
  </si>
  <si>
    <t>Edit a previously existing course, change every field and then save. Ensure that red/green markup appears correctly on the showrec.</t>
  </si>
  <si>
    <t>Open workflows.tcf within the /courseadmin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</si>
  <si>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Check the CIM Agenda Report (not Nate's reporting tool) and ensure that when a step in workflow is selected, a report is successfully generated for html, pdf, and excel outputs.</t>
  </si>
  <si>
    <t>Ensure that an excel spreadsheet is successfully generated when using the Reconciliation Report.</t>
  </si>
  <si>
    <t>Ensure that CIM Code Management successfully loads. Briefly compare the codes within CIM Code Management to the fields on the form and ensure that the codes are appearing where expected.</t>
  </si>
  <si>
    <t>Ensure that CIM Subj/Dept/Coll Mapping successfully loads. Pick two or three subjects listed within. Ensure that the lookup is working correctly for these items on the editrec.</t>
  </si>
  <si>
    <t>Add a help bubble for "new/edit", "new only", and "deactivate" pages. Ensure that they appear in the expected area in the editrec. Delete bubbles when test completed.</t>
  </si>
  <si>
    <t>If CIM is on Next, ensure that SIS has been entered as a step in the Course workflow.</t>
  </si>
  <si>
    <t>Note the CGI version that appears in wizdebug.out logs. Ensure this is updated (if possible) to the most recent version.</t>
  </si>
  <si>
    <t>If on dev, make sure emails are being sent to either a dummy address or a leepfrog address. If on Next, ensure that emails are set up to go to an appropriate school email address instead of a test address.</t>
  </si>
  <si>
    <t>Open firebug and click "console". Reload the main CIM page. Ensure that there are no 404 image errors or js errors.</t>
  </si>
  <si>
    <t>Ensure there are no attributes in the showrec without a corresponding code or name. These can be easily identified by having formats such as "Y|" or "Test|1234".</t>
  </si>
  <si>
    <t>Ensure that the Gear tool appears on the editrec. Ensure that all pencils bring up results in the pop-up dbleaf and all shaded screen items have explanatory notes.
Also note that there shouldn't be a "Do you want to save" message after selecting an item within the pencil pop-up dbleaf. This is an error and means that the dbleaf needs to be updated.</t>
  </si>
  <si>
    <t>Ensure that the course code format in the cimconfig.cfg matches up with how courses appear in the catalog.</t>
  </si>
  <si>
    <t>Open proposal, don't change anything, close. No prompt for "Are you sure you want to close, unsaved changes" should appear.</t>
  </si>
  <si>
    <t>Make sure the "Administrave Tools" in the open form contain the 3 standard options: Edit Form, Flatten form, All Fields Non-Required. Ensure the window closes when the Red X is selected.</t>
  </si>
  <si>
    <t>Open proposal created in Test 14. All fields should be appropriately populated with the saved information.</t>
  </si>
  <si>
    <t>When viewing course created in Test 14, note the key of the course. Navigate to that key folder within /courseadmin. When viewing the course in the browser, click "Shred". Note that they key folder for the course is removed.</t>
  </si>
  <si>
    <t>Propose a new Course. In the new window do not open the admin gear, scroll down the page, if the Gear moves with the window and the field IDs appear in bold, it is using the current latest version. (need a better way to ID the version it is on)</t>
  </si>
  <si>
    <t>Upload a document to each upload field and save. Open the key folder for the saved course and note that the uploaded file appears within. A link should appear on both the showrec and the editrec to view/download the attachment. There should be only one label for the attachement field regardless of the quantity of attachments that have been added.</t>
  </si>
  <si>
    <t>Describe Jalot task requirement</t>
  </si>
  <si>
    <t xml:space="preserve"> Search by Title - Dev</t>
  </si>
  <si>
    <t>Search by Key - Dev</t>
  </si>
  <si>
    <t xml:space="preserve"> Search by Code - Dev</t>
  </si>
  <si>
    <t>Search by Wildcard - Dev</t>
  </si>
  <si>
    <t>Quick Searches - Dev function, Front verbiage</t>
  </si>
  <si>
    <t>Administrative Tools - Front end</t>
  </si>
  <si>
    <t>Unsaved Changes Prompt - Dev</t>
  </si>
  <si>
    <t>Required Fields - Front End</t>
  </si>
  <si>
    <t>Edit Saved Proposal - Dev</t>
  </si>
  <si>
    <t>Attributes without Code or Name - Dev,  Front End</t>
  </si>
  <si>
    <t>Delete Uploaded File - Front End, Dev</t>
  </si>
  <si>
    <t>Gear Tool - Dev</t>
  </si>
  <si>
    <t>Check Red/Green Markup - Dev</t>
  </si>
  <si>
    <t>Edit Workflow - Dev</t>
  </si>
  <si>
    <t>CIM Agenda Report - Dev</t>
  </si>
  <si>
    <t>Reconciliation Report - Dev</t>
  </si>
  <si>
    <t>CIM Code Management - Dev</t>
  </si>
  <si>
    <t>CIM Subj/Dept/Coll Mapping - Front End, Dev</t>
  </si>
  <si>
    <t>CIM Help Bubble Management - Dev</t>
  </si>
  <si>
    <t>Course Codes - Dev</t>
  </si>
  <si>
    <t>CGI Version - Dev</t>
  </si>
  <si>
    <t>Email Configuration - Dev</t>
  </si>
  <si>
    <t>Nightly Feed - Dev</t>
  </si>
  <si>
    <t>Start Date</t>
  </si>
  <si>
    <t>End Date</t>
  </si>
  <si>
    <t>Date</t>
  </si>
  <si>
    <t>CIM Front End Dev</t>
  </si>
  <si>
    <t>Notes</t>
  </si>
  <si>
    <t>Test Status</t>
  </si>
  <si>
    <t>Overall Status</t>
  </si>
  <si>
    <t>Check to see if a nightly feed has been set up. Look in "bin" folder for a daily.sh. Also check timestamp of cimcourses files. If they all have the exact timestamp and the timestamp is  early in the morning of the current date, then it is likely that a nightly feed is set up.</t>
  </si>
  <si>
    <t>Dev</t>
  </si>
  <si>
    <t>#Enter Jam Session Jalot Task Title</t>
  </si>
  <si>
    <t>Search/Main Screen</t>
  </si>
  <si>
    <t>New Course Proposal</t>
  </si>
  <si>
    <t>CourseLeaf Console</t>
  </si>
  <si>
    <t>Jam Session Items</t>
  </si>
  <si>
    <t>Valid States</t>
  </si>
  <si>
    <t>Passed</t>
  </si>
  <si>
    <t>Tester</t>
  </si>
  <si>
    <t>Valid Envs</t>
  </si>
  <si>
    <t>Attempted</t>
  </si>
  <si>
    <t>Goal</t>
  </si>
  <si>
    <t>Effort to date (hours)</t>
  </si>
  <si>
    <t>Effort Remaining (hours)</t>
  </si>
  <si>
    <t>Task Start Time</t>
  </si>
  <si>
    <t>Task Stop/End Time</t>
  </si>
  <si>
    <t>Pass</t>
  </si>
  <si>
    <t>Fail</t>
  </si>
  <si>
    <t>Wait</t>
  </si>
  <si>
    <t>Resource Expended (seconds)</t>
  </si>
  <si>
    <t>Test Cases Defined</t>
  </si>
  <si>
    <t>CSM</t>
  </si>
  <si>
    <t>Waiting - Dev</t>
  </si>
  <si>
    <t>Waiting - CSM</t>
  </si>
  <si>
    <t>Estimated Effort (hours)</t>
  </si>
  <si>
    <t>Info/Comment</t>
  </si>
  <si>
    <t>Project</t>
  </si>
  <si>
    <t>Environment</t>
  </si>
  <si>
    <t>DEV</t>
  </si>
  <si>
    <t>TEST</t>
  </si>
  <si>
    <t>NEXT</t>
  </si>
  <si>
    <t>Valid Project Types</t>
  </si>
  <si>
    <t>Refresh</t>
  </si>
  <si>
    <t>SOW</t>
  </si>
  <si>
    <t>Move2Next</t>
  </si>
  <si>
    <t>Other</t>
  </si>
  <si>
    <t>Testers</t>
  </si>
  <si>
    <t>Scotta</t>
  </si>
  <si>
    <t>CSMs</t>
  </si>
  <si>
    <t>Amy</t>
  </si>
  <si>
    <t>Kathy</t>
  </si>
  <si>
    <t>Aaron</t>
  </si>
  <si>
    <t>Jamie</t>
  </si>
  <si>
    <t>Marissa</t>
  </si>
  <si>
    <t>Matt</t>
  </si>
  <si>
    <t>Teri</t>
  </si>
  <si>
    <t>CIM Devs</t>
  </si>
  <si>
    <t>Mike</t>
  </si>
  <si>
    <t>Lauren</t>
  </si>
  <si>
    <t>Jared</t>
  </si>
  <si>
    <t>Nathan</t>
  </si>
  <si>
    <t>Phil</t>
  </si>
  <si>
    <t>Chris</t>
  </si>
  <si>
    <t>Leah</t>
  </si>
  <si>
    <t>Melanie</t>
  </si>
  <si>
    <t>Remaining</t>
  </si>
  <si>
    <t xml:space="preserve">   Attempted</t>
  </si>
  <si>
    <t xml:space="preserve">   Remaining</t>
  </si>
  <si>
    <t xml:space="preserve">   Passed</t>
  </si>
  <si>
    <t xml:space="preserve">   Failed</t>
  </si>
  <si>
    <t xml:space="preserve">   Waiting</t>
  </si>
  <si>
    <t xml:space="preserve">   Other</t>
  </si>
  <si>
    <t>Description</t>
  </si>
  <si>
    <t>Search by Title</t>
  </si>
  <si>
    <t>Search by Key</t>
  </si>
  <si>
    <t>Search by Code</t>
  </si>
  <si>
    <t>Search by Wildcard</t>
  </si>
  <si>
    <t>Quick Searches</t>
  </si>
  <si>
    <t>Load Errors</t>
  </si>
  <si>
    <t>Administrative Tools</t>
  </si>
  <si>
    <t>New Program Proposal</t>
  </si>
  <si>
    <t>Select a program, note its title. Search for that title, ensure that the correct program appears within search results.</t>
  </si>
  <si>
    <t>Select a program, note its key. Search for that key, ensure that the correct program appears within search results.</t>
  </si>
  <si>
    <t>Select a program, note its program code. Search for that program code, ensure that the correct program appears within search results.</t>
  </si>
  <si>
    <t>Search for a small amount of letters surrounded by asterisks (e.g.: *account*). Ensure the correct program appears within search results.</t>
  </si>
  <si>
    <t>Select every quick search option. Ensure the results of said quick searches are accurate. For example, if there are no deactivated programs, expect no results for the "Deactivated Programs" search.</t>
  </si>
  <si>
    <t>Access Program by URL</t>
  </si>
  <si>
    <t>Find a program and note its program code (e.g.: MATH-BA). Then attempt to access the following URL (replacing with appropriate code): "/programadmin/?code=MATH-BA". The search results should bring up only that program.</t>
  </si>
  <si>
    <t>Program Status</t>
  </si>
  <si>
    <t>Make sure that "course status" in the search results is entered into CIM Codes, which should then appropriately carry over into Programs.. The value should match the naming convention of what appears on the buttons and in the quick searches.</t>
  </si>
  <si>
    <t>Unsaved Changes Prompt</t>
  </si>
  <si>
    <t>Required Fields</t>
  </si>
  <si>
    <t>Propose a new program. Use the Gear tool to flatten the form. Then attempt to save and submit the proposal. Ensure that all fields that appear in the warning appear to be required on the form and vice versa. Also check for consistency in labels between the warning and the form.</t>
  </si>
  <si>
    <t>Save New Program</t>
  </si>
  <si>
    <t>Fill out all fields in a new program proposal, then save but do not submit it. All fields in the showrec should be appropriately populated.</t>
  </si>
  <si>
    <t>Edit Saved Proposal</t>
  </si>
  <si>
    <t>Course Picker Functionality</t>
  </si>
  <si>
    <t>CIP Picker Functionality</t>
  </si>
  <si>
    <t>Upload a File</t>
  </si>
  <si>
    <t>Upload a document to each upload field and save. Open the key folder for the saved program and note that the uploaded file appears within. A link should appear on both the showrec and the editrec to view/download the attachment. There should be only one label for the attachement field regardless of the quantity of attachments that have been added.</t>
  </si>
  <si>
    <t>Delete Uploaded File</t>
  </si>
  <si>
    <t>Shred a New Program</t>
  </si>
  <si>
    <t>Gear Tool</t>
  </si>
  <si>
    <t>Edit Program Proposal</t>
  </si>
  <si>
    <t>Save Edit with no Changes</t>
  </si>
  <si>
    <t>Edit a program that has been fully approved (may be necessary to copy/paste tcf into a tca). Save the program without changing any information in the proposal. Check the showrec for any red/green markup.</t>
  </si>
  <si>
    <t>Check Red/Green Markup</t>
  </si>
  <si>
    <t>Edit a previously existing program, change every field and then save. Ensure that red/green markup appears correctly on the showrec.</t>
  </si>
  <si>
    <t>Shred Proposal to Edit Program</t>
  </si>
  <si>
    <t>In a program that has been modified, click "Shred Proposal" for that program. Ensure that the red/green markup disappears and that the program matches its last approved version.</t>
  </si>
  <si>
    <t>Edit Workflow</t>
  </si>
  <si>
    <t>Open workflow.tcf within the /programadmin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</si>
  <si>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CIM Agenda Report</t>
  </si>
  <si>
    <t>Reconciliation Report</t>
  </si>
  <si>
    <t>CIM Code Management</t>
  </si>
  <si>
    <t>CIM Subj/Dept/Coll Mapping</t>
  </si>
  <si>
    <t>CIM Help Bubble Management</t>
  </si>
  <si>
    <t>Insert CIM Program</t>
  </si>
  <si>
    <t>Navigate to /wiztest and enter the page body editor. Click "Insert/Edit Formatted Table". "Insert CIM Program" should be an option within the drop-down.</t>
  </si>
  <si>
    <t>Role Management Set-Up</t>
  </si>
  <si>
    <t>If CIM form has been moved from Dev to Next, ensure that the Roles set up for CIM have been moved as well. Compare Dev's Role Management with Next's Role Management. Ensure that Catalog Roles have not been overwritten.</t>
  </si>
  <si>
    <t>Behind the Scenes</t>
  </si>
  <si>
    <t>CGI Version</t>
  </si>
  <si>
    <t>Form Builder Version</t>
  </si>
  <si>
    <t>Email Configuration</t>
  </si>
  <si>
    <t>Make sure that "propsal status" in the search results is entered into CIM Codes. The value should match the naming convention of what appears on the buttons and in the quick searches.</t>
  </si>
  <si>
    <t>Create a new proposal.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</si>
  <si>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proposal, then save but do not submit it. All fields in the showrec should be appropriately populated.</t>
  </si>
  <si>
    <t>Add Uploaded File - Front End, Dev</t>
  </si>
  <si>
    <t>Shred a New Proposal - Dev</t>
  </si>
  <si>
    <t>Edit without save</t>
  </si>
  <si>
    <t>Edit an existing proposal. Save the proposal without changing any information in the proposal. Check the showrec for any red/green markup.</t>
  </si>
  <si>
    <t>Shred Proposal to Edit Proposal - Dev</t>
  </si>
  <si>
    <t>In a propsal that has been modified, click "Shred Proposal" for that course. Ensure that the red/green markup disappears and that the course matches its last approved version.</t>
  </si>
  <si>
    <t>Instance Name</t>
  </si>
  <si>
    <t>CIM - CourseAdmin</t>
  </si>
  <si>
    <t>CIM - ProgramAdmin</t>
  </si>
  <si>
    <t>Valid Instances</t>
  </si>
  <si>
    <t>CIM - MiscAdmin</t>
  </si>
  <si>
    <t>CIM - CoreAdmin</t>
  </si>
  <si>
    <t>CIM - SyllabusAdmin</t>
  </si>
  <si>
    <t>Client Code</t>
  </si>
  <si>
    <t>Developer</t>
  </si>
  <si>
    <t>Pre-Kickoff</t>
  </si>
  <si>
    <t>Jam</t>
  </si>
  <si>
    <t>Final</t>
  </si>
  <si>
    <t>Phases</t>
  </si>
  <si>
    <t>Phase</t>
  </si>
  <si>
    <t>Phase Qualifier</t>
  </si>
  <si>
    <t>Failed - Dev</t>
  </si>
  <si>
    <t>( Remove previous test result )</t>
  </si>
  <si>
    <t>( Add new test result )</t>
  </si>
  <si>
    <t>( Add new test case )</t>
  </si>
  <si>
    <t>Find a course and note its course code (e.g.: ABC 123). Then attempt to access the following URL (replacing with appropriate code): "/courseadmin/?code=ABC 123". The search results should bring up only that course.</t>
  </si>
  <si>
    <t>Make sure that "course status" in the search results is entered into CIM Codes. The value should match the naming convention of what appears on the buttons and in the quick searches.</t>
  </si>
  <si>
    <t>Propose a new course.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</si>
  <si>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course proposal, then save but do not submit it. All fields in the showrec should be appropriately populated.</t>
  </si>
  <si>
    <t>Open a course picker tool. The course created in Test 14 should appear as an option to select with the correct title.</t>
  </si>
  <si>
    <t>SELIGO fields work</t>
  </si>
  <si>
    <t>Check the form for these types of fields, these are searchable drop lists</t>
  </si>
  <si>
    <t>Add good instructions on how to do this. How does QA know this is on the form and is to be this type of field?</t>
  </si>
  <si>
    <t>Why did this not Synch?</t>
  </si>
  <si>
    <t>When Banner school ensure the "Why did this not Synch?" link on the bottom of the course form?</t>
  </si>
  <si>
    <t>Edit Course Proposal</t>
  </si>
  <si>
    <t>Ecosystem - Dev</t>
  </si>
  <si>
    <t>Pick an elementary math or English course (Calculus I is usually a good choice). An ecosystem should show on this course. Click a link in each section of the ecosystem, ensure link is not broken.</t>
  </si>
  <si>
    <t>Descriptions Populating - Dev</t>
  </si>
  <si>
    <t>Search for "*". Check multiple courses in the results. Ensure that descriptions appear for each course. If a description does not appear, check that course's data (querypwdb or /clienttransfers/cimcourses) for a description. It is possible that no description was provided for that course.</t>
  </si>
  <si>
    <t>Descriptions Parsing - Dev</t>
  </si>
  <si>
    <t>Ensure course description parsing is working. Prereqs and Coreqs should be removed from the course description and should appear in their proper fields in the form.</t>
  </si>
  <si>
    <t>Edit an existing course. Save the course without changing any information in the proposal. Check the showrec for any red/green markup.</t>
  </si>
  <si>
    <t>In a course that has been modified, click "Shred Proposal" for that course. Ensure that the red/green markup disappears and that the course matches its last approved version.</t>
  </si>
  <si>
    <t>Find a course (possibly from tests above) that has been edited from its previously-approved version and then shredded. Attempt to edit this course. The editrec should appear as normal. Ensure no "Out of Sync" screen appears.</t>
  </si>
  <si>
    <t>Reviewer Comments</t>
  </si>
  <si>
    <t>Ensure Reviewer comments are on the form. Also test populating reviewer comments through workflow from console back to the form.</t>
  </si>
  <si>
    <t>Export files are working</t>
  </si>
  <si>
    <t>These are the buttons to send the CIM form to the printer or to Adobe, not all clients have. Supposed to NOTE if not on the form.</t>
  </si>
  <si>
    <t>Added this item to the form today 8/31/16</t>
  </si>
  <si>
    <t>Add - test saving, retiring, etc….what does etc. mean? To dev how is this fully tested?</t>
  </si>
  <si>
    <t>CIM Section Added to the Console</t>
  </si>
  <si>
    <t>This item was added 8/31/16 should probably move up in the list.</t>
  </si>
  <si>
    <t>Custom emails - move the next testing, if wfemails are set to "custom" the appropriate custom emails have been configured. When cloning the next site for testing, sending through workflow, next issues will be caught, email would not be sent and a message in wizdebug.out file to indicate as such.</t>
  </si>
  <si>
    <t>Select a program with an ecosystem populated. Typically this is "Catalog Pages Using this Program". Click each link to ensure they are not broken.</t>
  </si>
  <si>
    <t>Added 9/7/2016</t>
  </si>
  <si>
    <t>Migrate/Capture CIM Program</t>
  </si>
  <si>
    <t>Navigate to /wiztest and enter the page body editor, select content already on the page, if no content add some simple text. Click "Manage Selected Content". "New CIM Program" should be an option within the drop-down.</t>
  </si>
  <si>
    <t>The Console page should have the CIM Section added</t>
  </si>
  <si>
    <t>Select a record, note its title. Search for that title, ensure that the correct course appears within search results.</t>
  </si>
  <si>
    <t>Select a record, note its key. Search for that key, ensure that the correct course appears within search results.</t>
  </si>
  <si>
    <t>Select a record, note its course code. Search for that course code, ensure that the correct course appears within search results.</t>
  </si>
  <si>
    <t>Search for a small amount of letters surrounded by asterisks (e.g.: *dance*). Ensure the correct record appears within search results.</t>
  </si>
  <si>
    <t>Select every quick search option. Ensure the results of said quick searches are accurate. For example, if there are no deactivated records, expect no results for the "Deactivated Record" search.</t>
  </si>
  <si>
    <t>Proposal Status - Dev</t>
  </si>
  <si>
    <t>New Miscellanous Proposal</t>
  </si>
  <si>
    <t>Edit Miscellanous Proposal</t>
  </si>
  <si>
    <t>Save New Miscellaneous Admin record - Dev</t>
  </si>
  <si>
    <t>Open proposal created in Test 12. All fields should be appropriately populated with the saved information.</t>
  </si>
  <si>
    <t>When viewing course created in Test 12, note the key of the course. Navigate to that key folder within /courseadmin. When viewing the course in the browser, click "Shred". Note that they key folder for the course is removed.</t>
  </si>
  <si>
    <t>Remove? Area misc admin records ever on this report?</t>
  </si>
  <si>
    <t>Remove? Already tested during course/program admin, test again or remove?</t>
  </si>
  <si>
    <t>Focus Search by Page Title</t>
  </si>
  <si>
    <t>Select a page, note its title. Search for that title, ensure that the correct page appears within search results.</t>
  </si>
  <si>
    <t>Focus Search by Keyword</t>
  </si>
  <si>
    <t>Select a page, enter a specific keyword into the Set Up windows keyword field. Search for that keyword, ensure that the correct page appears within search results.</t>
  </si>
  <si>
    <t>Focus Search by Course Code</t>
  </si>
  <si>
    <t>Select a course, note its key. Search for that key, ensure that the correct course appears within search results.Select a course code and specific pages it is found on. Search for that course code, ensure that the correct pages with this course appears within search results.</t>
  </si>
  <si>
    <t>Focus Search by Department Name</t>
  </si>
  <si>
    <t>Select a department and search for the specific pages it is found on. Ensure the correct pages containing this department appear within search results.</t>
  </si>
  <si>
    <t>Google Search</t>
  </si>
  <si>
    <t>Open firebug and click "console". Reload the main CAT page. Ensure that there are no 404 image errors or js errors.</t>
  </si>
  <si>
    <t>Does this need to be tested for a CAT web catalog?</t>
  </si>
  <si>
    <t>Navigation</t>
  </si>
  <si>
    <t>Page Body Editor</t>
  </si>
  <si>
    <t>Navigation - Narbar</t>
  </si>
  <si>
    <t>Click on various navigation items to include left, top and right as found on the site</t>
  </si>
  <si>
    <t>Breadcumbs</t>
  </si>
  <si>
    <t>Verify their overall appears is identical. They may have sepcial separators such as &lt;&lt;:
Test various levels of breadcrumbs</t>
  </si>
  <si>
    <t>Top Navigation</t>
  </si>
  <si>
    <t>If the client is using top navigation click on each item and ensure it is working</t>
  </si>
  <si>
    <t>Sibling Navigation</t>
  </si>
  <si>
    <t>Need to get specifics of this item.</t>
  </si>
  <si>
    <t>Related Programs Navigation</t>
  </si>
  <si>
    <t>On this page Navigation</t>
  </si>
  <si>
    <t>Need to get specifics of this item. Relation to: Regular Headers, SC Headers, Anchors</t>
  </si>
  <si>
    <t>Links - External and internal</t>
  </si>
  <si>
    <t>Links take the user to the appropriate web url whether relational or external. Open in a new window.</t>
  </si>
  <si>
    <t>Structured content - Course List</t>
  </si>
  <si>
    <t>Test all features of the courselist functions to include: Add New, Edit Existing, Sum Totals Correctly, Courses Display Correctly, Comment Courses Display Correctly, indent is working, sum over ride is working, the draw layer is correct.</t>
  </si>
  <si>
    <t>Structured content - Plan of Study</t>
  </si>
  <si>
    <t>Test all features of the plan of study to include: Add New, Edit Existing, Sum Totals Correctly, Courses Display Correctly, Comment Courses Display Correctly, indent is working, sum over ride is working, the draw layer is correct.</t>
  </si>
  <si>
    <t>Structured content - Shared</t>
  </si>
  <si>
    <t>Need test detail for this testing.</t>
  </si>
  <si>
    <t>Structured content - Footnotes</t>
  </si>
  <si>
    <t>Add new. Edit Existing.</t>
  </si>
  <si>
    <t>Structured content - Pre-Defined Table</t>
  </si>
  <si>
    <t>Add new. Edit Existing. Test all features: Bold, Inline Course Links, indent</t>
  </si>
  <si>
    <t>Structured content - Course Descriptions (per Subject)</t>
  </si>
  <si>
    <t>Structured content - Course Descriptions (per courses)</t>
  </si>
  <si>
    <t>Structured content - Borrowed Content</t>
  </si>
  <si>
    <t>Structured content - Embedded Tabs</t>
  </si>
  <si>
    <t>Manage Selected Content - Page Tabs</t>
  </si>
  <si>
    <t>Add a new tab by first selecting page content. Insert at: Beginning of Tab. Insert at: End of Tab. Edit Existing tab.</t>
  </si>
  <si>
    <t>Basic Edit Functions</t>
  </si>
  <si>
    <t>Cut, Copy, Paste, Delete, Remove Formatting, Remove Links, Special Characters and page breaks, Undo, Redo, Edit HTML Source - complete testing detail for this item.</t>
  </si>
  <si>
    <t>Check the page body for these types of fields, these are searchable drop lists</t>
  </si>
  <si>
    <t>Data Imports/Exports/Integration</t>
  </si>
  <si>
    <t>Course Import - does the import run and import courses correctly.</t>
  </si>
  <si>
    <t>Import the courses uses the lastest file. Use the course database and search for "*". The results should match up with the courses that appear within /clienttransfers/catcourses/cl_scbrse.txt, or other such file appropriate to different SIS. Pay attention to first and last entry in said file. Does the file(s) contain headers?</t>
  </si>
  <si>
    <t>SIS source, Banner, Colleague (now banner product) PeopleSoft, Home Grown.
Non SIS Source Data - Outcomes, Objectives, other
Organized Toxonomy - College/Department/Subject</t>
  </si>
  <si>
    <t>Change this for CAT review</t>
  </si>
  <si>
    <t>Course Draw on CAT page</t>
  </si>
  <si>
    <t>Review the course draw on the CAT page matches the client specifications.</t>
  </si>
  <si>
    <t>Course Draw in the Single Page PDF</t>
  </si>
  <si>
    <t>Review the course draw in the single page PDF page matches the client specifications.</t>
  </si>
  <si>
    <t>Account Management</t>
  </si>
  <si>
    <t>Need Testing detail for this item</t>
  </si>
  <si>
    <t>Approve Pages</t>
  </si>
  <si>
    <t>Need testing Detail for this item</t>
  </si>
  <si>
    <t>Contact Support</t>
  </si>
  <si>
    <t>Click on the link, takes the user to the https://helpspot.courseleaf.com/ COURSELEAF.COM CourseLeaf Support Page.</t>
  </si>
  <si>
    <t>Documentation</t>
  </si>
  <si>
    <t>Click on the link opens the CourseLeaf Help window.</t>
  </si>
  <si>
    <t>Role Management</t>
  </si>
  <si>
    <t>Click on the link the Role Management window opens.</t>
  </si>
  <si>
    <t>Workflow Emails</t>
  </si>
  <si>
    <t>Click on the link the Workflow Emails window opens.</t>
  </si>
  <si>
    <t>Edit Page</t>
  </si>
  <si>
    <t>Need testing detail for this item</t>
  </si>
  <si>
    <t>Create Page</t>
  </si>
  <si>
    <t>Select create page, add a new page, verify it can be accessed using the URL.</t>
  </si>
  <si>
    <t>Delete Page</t>
  </si>
  <si>
    <t>Select delete page, enter the URL for the page you created in test XX, verify the page is deleted from the server folder.</t>
  </si>
  <si>
    <t>Subjects DBLeaf</t>
  </si>
  <si>
    <t>This is on the console for Brandman, new client, what does this do, need testing detail for this item.</t>
  </si>
  <si>
    <t>Editor Email List</t>
  </si>
  <si>
    <t>Export Navbar</t>
  </si>
  <si>
    <t>Need testing detail for this item.</t>
  </si>
  <si>
    <t>Image Library</t>
  </si>
  <si>
    <t>Need testing detail for this item. Shared Resources.</t>
  </si>
  <si>
    <t>In Progress Workflow Report</t>
  </si>
  <si>
    <t>Owner/Workflow Report</t>
  </si>
  <si>
    <t>Rebuild Course Bubbles</t>
  </si>
  <si>
    <t>Refresh System</t>
  </si>
  <si>
    <t>Republish site</t>
  </si>
  <si>
    <t>Republish Subdirectory</t>
  </si>
  <si>
    <t>Need testing detail for this item. This includes rebuilding the navbar.</t>
  </si>
  <si>
    <t>Shared Content Categories</t>
  </si>
  <si>
    <t>Workflow Management</t>
  </si>
  <si>
    <t>System Snapshot</t>
  </si>
  <si>
    <t>System snapshot filter, do they all filter the snapshot correctly</t>
  </si>
  <si>
    <t>Faculty</t>
  </si>
  <si>
    <t>Faculty Import</t>
  </si>
  <si>
    <t>Faculty Import options: One time import, Nightly Feed, DBLeaf/Baculty Block, Faculty Data Polish, Faculty Content Block. Use the Notes field to record what faculty type the client has and information regarding the results</t>
  </si>
  <si>
    <t>Faculty Draw on CAT page</t>
  </si>
  <si>
    <t>Review the faculty draw on the CAT page matches the client specifications.</t>
  </si>
  <si>
    <t>Faculty Draw in the Single Page PDF</t>
  </si>
  <si>
    <t>Review the faculty draw in the single page PDF page matches the client specifications.</t>
  </si>
  <si>
    <t>Single Page PDF</t>
  </si>
  <si>
    <t>Does the single page pdf include all content from the catalog page as expected by the client.</t>
  </si>
  <si>
    <t>PDF TOC Generation</t>
  </si>
  <si>
    <t>Can you generate a new pdf TOC file from the web CAT site?</t>
  </si>
  <si>
    <t>User Provisioning</t>
  </si>
  <si>
    <t>Should this be included for QA to do?</t>
  </si>
  <si>
    <t>Workflows</t>
  </si>
  <si>
    <t>Are workflows set up in workflow management?</t>
  </si>
  <si>
    <t>Workflows Synch Step</t>
  </si>
  <si>
    <t>Do  the workflows have a synch step?</t>
  </si>
  <si>
    <t>Workflows Other Step</t>
  </si>
  <si>
    <t>Do the workflows have an Other Workflows Step?</t>
  </si>
  <si>
    <t>Phase Management</t>
  </si>
  <si>
    <t>Does Phase Management change phases?</t>
  </si>
  <si>
    <t>Instances, Rules, Meeting Patterns Links</t>
  </si>
  <si>
    <t>Do the links to instances, rules, meeting patterns work?</t>
  </si>
  <si>
    <t>Roles Management Scheduling Unit DUS Roles</t>
  </si>
  <si>
    <t>Does Role Management have DUS roles for every scheduling unit?</t>
  </si>
  <si>
    <t>User Provisioning DUS's</t>
  </si>
  <si>
    <t>Are the DUS's in User Provisioning?</t>
  </si>
  <si>
    <t>Stand Meeting Pattern Rule</t>
  </si>
  <si>
    <t>Is there a standard meeting pattern rule?</t>
  </si>
  <si>
    <t>Stand Meeting Pattern Rule Filter</t>
  </si>
  <si>
    <t>Are all meeting patterns in the standard meeting pattern rule filter?</t>
  </si>
  <si>
    <t>Standard Meeting Pattern Section Coverage</t>
  </si>
  <si>
    <t>Are most sections covered with the standard meeting pattern rule?</t>
  </si>
  <si>
    <t>Multiple Rules in the Standard Meeting Pattern</t>
  </si>
  <si>
    <t>Are there any multiple rules in the standard meeting pattern rule?</t>
  </si>
  <si>
    <t>Framer</t>
  </si>
  <si>
    <t>Add a Section</t>
  </si>
  <si>
    <t>Number of columns</t>
  </si>
  <si>
    <t>Need detail verification/test information for this item.</t>
  </si>
  <si>
    <t>Copy from Historical to New</t>
  </si>
  <si>
    <t>User can copy from the historical to new?</t>
  </si>
  <si>
    <t>Instructor View in New Window</t>
  </si>
  <si>
    <t>User can show instructor view in new window.</t>
  </si>
  <si>
    <t>Add Section</t>
  </si>
  <si>
    <t>User can add a section with the add section button.</t>
  </si>
  <si>
    <t>Export Instructor to xls</t>
  </si>
  <si>
    <t>User can export the instructor to xls</t>
  </si>
  <si>
    <t>Export Instructor to PDF</t>
  </si>
  <si>
    <t>User can export the instructor to pdf</t>
  </si>
  <si>
    <t>Export Course to xls</t>
  </si>
  <si>
    <t>User can export the course to xls</t>
  </si>
  <si>
    <t>Export Course to pdf</t>
  </si>
  <si>
    <t>Section Buttons are visible</t>
  </si>
  <si>
    <t>User can view the +, click + to add</t>
  </si>
  <si>
    <t>Drop Down Field Population</t>
  </si>
  <si>
    <t>Each drop down has appropriate values with no blank values?</t>
  </si>
  <si>
    <t>Cross-List Tool</t>
  </si>
  <si>
    <t>The client has cross-list tool for end suers and wants that capability?</t>
  </si>
  <si>
    <t>Seligo Cross-List Course Find</t>
  </si>
  <si>
    <t>Seligo finds cross-listed courses.</t>
  </si>
  <si>
    <t>Section Attributes Add</t>
  </si>
  <si>
    <t>Users can add section attributes?</t>
  </si>
  <si>
    <t>Instructor Drop Down - Staff</t>
  </si>
  <si>
    <t>The Instructor drop down has Staff</t>
  </si>
  <si>
    <t>Instructor Drop Down - Other</t>
  </si>
  <si>
    <t>The Instructor drop down has Other and is requested by client?</t>
  </si>
  <si>
    <t>Instructor Drop Down - - Multiple</t>
  </si>
  <si>
    <t>The Instructor drop down has Multiple?</t>
  </si>
  <si>
    <t>Add Multiple Instructors</t>
  </si>
  <si>
    <t>Users can add multiple instructors with client specified options</t>
  </si>
  <si>
    <t>Rooms Data Population</t>
  </si>
  <si>
    <t>Verify "General Classroom" in Rooms drop down, and attributes can be added.</t>
  </si>
  <si>
    <t>Meeting Patterns Snapper Display</t>
  </si>
  <si>
    <t>Verify Meeting patterns are showing in the snapper.</t>
  </si>
  <si>
    <t>Saving a Section</t>
  </si>
  <si>
    <t>Verify you can save a section.</t>
  </si>
  <si>
    <t>Delete a Section</t>
  </si>
  <si>
    <t>Verify you can delete a section.</t>
  </si>
  <si>
    <t>Help Documentation Link</t>
  </si>
  <si>
    <t>Verify you can follow the help link to help documentation.</t>
  </si>
  <si>
    <t>Broken Rules Validation</t>
  </si>
  <si>
    <t>Verify you can validate the scheduling unit and se3e broekn rules appropriately (break a number of rules)</t>
  </si>
  <si>
    <t>Bridge Tools</t>
  </si>
  <si>
    <t>Verify you can view Bridge Tools, loads sis vs clss, loads view xml.</t>
  </si>
  <si>
    <t>Visualize</t>
  </si>
  <si>
    <t>Filter</t>
  </si>
  <si>
    <t>Heat Map Coloring</t>
  </si>
  <si>
    <t>Verify the Heat map shows red.</t>
  </si>
  <si>
    <t>Heat Map Section Time Frame</t>
  </si>
  <si>
    <t>Verify the Heat map shows sections in time frame.</t>
  </si>
  <si>
    <t>Heat Map Cross-List Display</t>
  </si>
  <si>
    <t>Verify the Heat Map appropriately accounts for cross-lists.</t>
  </si>
  <si>
    <t>Help Icon</t>
  </si>
  <si>
    <t>Verify the Help icon goes to the right placee.</t>
  </si>
  <si>
    <t>Max Enrollment</t>
  </si>
  <si>
    <t>Filter for maximum enrollment greater than 10</t>
  </si>
  <si>
    <t>Multiple Instructor 34</t>
  </si>
  <si>
    <t>Verify multiple instructor 34. Need detail on this item.</t>
  </si>
  <si>
    <t>Multiple Instructor 25</t>
  </si>
  <si>
    <t>Verify multiple instructor 25. Need detail on this item.</t>
  </si>
  <si>
    <t>Meeting Pattern MWF*</t>
  </si>
  <si>
    <t>Meeting pattern Name MWF*. Need detail on this item.</t>
  </si>
  <si>
    <t>Room Compacity !=</t>
  </si>
  <si>
    <t>Room Capacity !=. Need detail on this item.</t>
  </si>
  <si>
    <t>Approved Section all data !same</t>
  </si>
  <si>
    <t>Approved Section all data !same. Need more detail on this item.</t>
  </si>
  <si>
    <t>Overlapping same instructor id</t>
  </si>
  <si>
    <t>Overlapping same instructor id. Need more detail on this item.</t>
  </si>
  <si>
    <t>End User</t>
  </si>
  <si>
    <t>PDF Generation</t>
  </si>
  <si>
    <t>Export</t>
  </si>
  <si>
    <t>Current Years</t>
  </si>
  <si>
    <t>Are Current Years in the Current Years area?</t>
  </si>
  <si>
    <t>Sections Expansion</t>
  </si>
  <si>
    <t>Do sections expand all, collapse all, expand one and collapse one?</t>
  </si>
  <si>
    <t>View By Selections</t>
  </si>
  <si>
    <t>Do the "View By" selections show correctly?</t>
  </si>
  <si>
    <t>Export as PDF</t>
  </si>
  <si>
    <t>Verify you can export to PDF.</t>
  </si>
  <si>
    <t>Export as Excel</t>
  </si>
  <si>
    <t>Verify you can export to Excel.</t>
  </si>
  <si>
    <t>PDF with Filter</t>
  </si>
  <si>
    <t>Excel with Filter</t>
  </si>
  <si>
    <t>Logout Button Authentication Clients</t>
  </si>
  <si>
    <t>Is the logout button removed for authentication clients</t>
  </si>
  <si>
    <t>Courses in No Sections Work</t>
  </si>
  <si>
    <t>Does the show courses with no sections work?</t>
  </si>
  <si>
    <t>Main / Search</t>
  </si>
  <si>
    <r>
      <t xml:space="preserve">Additional Items </t>
    </r>
    <r>
      <rPr>
        <b/>
        <i/>
        <sz val="12"/>
        <color theme="0"/>
        <rFont val="Calibri"/>
        <family val="2"/>
      </rPr>
      <t>(Other anomalies were found during testing)</t>
    </r>
  </si>
  <si>
    <t>Failed - CSM</t>
  </si>
  <si>
    <r>
      <t>Additional Items</t>
    </r>
    <r>
      <rPr>
        <b/>
        <i/>
        <sz val="12"/>
        <color theme="0"/>
        <rFont val="Calibri"/>
        <family val="2"/>
      </rPr>
      <t xml:space="preserve"> (Other anomalies were found during testing)</t>
    </r>
  </si>
  <si>
    <t>CAT Devs</t>
  </si>
  <si>
    <t>Ben</t>
  </si>
  <si>
    <t>Ariel</t>
  </si>
  <si>
    <t>Dave</t>
  </si>
  <si>
    <t>Tanner</t>
  </si>
  <si>
    <t>CAT - Base</t>
  </si>
  <si>
    <t>CLSS - Base</t>
  </si>
  <si>
    <t>CLSS Devs</t>
  </si>
  <si>
    <t>Jeremy</t>
  </si>
  <si>
    <t>Historical Data</t>
  </si>
  <si>
    <t>Failed</t>
  </si>
  <si>
    <t>Waiting</t>
  </si>
  <si>
    <t>Note: You MUST have macros enabled for this worksheet to function properly</t>
  </si>
  <si>
    <t>Implementation</t>
  </si>
  <si>
    <t>Test Case #</t>
  </si>
  <si>
    <t>Lee</t>
  </si>
  <si>
    <t>Megan</t>
  </si>
  <si>
    <t>Courses Loaded</t>
  </si>
  <si>
    <t xml:space="preserve"> Search by Title</t>
  </si>
  <si>
    <t xml:space="preserve"> Search by Code</t>
  </si>
  <si>
    <t>Access Course by URL</t>
  </si>
  <si>
    <t>Course Status</t>
  </si>
  <si>
    <t>Save New Course</t>
  </si>
  <si>
    <t>Attributes without Code or Name</t>
  </si>
  <si>
    <t>Open proposal created in Test 14. Ensure there are no attributes in the showrec without a corresponding code or name. These can be easily identified by having formats such as "Y|" or "Test|1234".</t>
  </si>
  <si>
    <t>New Course in Course Picker</t>
  </si>
  <si>
    <t>Shred a New Course</t>
  </si>
  <si>
    <t>Ecosystem</t>
  </si>
  <si>
    <t>Descriptions Populating</t>
  </si>
  <si>
    <t>Descriptions Parsing</t>
  </si>
  <si>
    <t>Shred Proposal to Edit Course</t>
  </si>
  <si>
    <t>Out of Sync Errors</t>
  </si>
  <si>
    <t>SIS Step in Workflow</t>
  </si>
  <si>
    <t>Course Codes</t>
  </si>
  <si>
    <t>Nightly Feed</t>
  </si>
  <si>
    <t>#Enter Other item Found Jalot Number and Task Title</t>
  </si>
  <si>
    <t>#Enter Jam Session Jalot Task Number and Title</t>
  </si>
  <si>
    <t>Open proposal created in Test 13. All fields should be appropriately populated with the saved information. Ensure there are no attributes in the showrec without a corresponding code or name. These can be easily identified by having formats such as "Y|" or "Test|1234".</t>
  </si>
  <si>
    <t>When viewing program created in Test 13, note the key of the program. Navigate to that key folder within /programadmin. When viewing the program in the browser, click "Shred". Note that they key folder for the program is removed.</t>
  </si>
  <si>
    <t>Requester (CSM)</t>
  </si>
  <si>
    <t>N/A</t>
  </si>
  <si>
    <t>Accepted</t>
  </si>
  <si>
    <t>1.- Percentage of defined test cases</t>
  </si>
  <si>
    <t>2- Percentage of attempted test case</t>
  </si>
  <si>
    <t>CIM - GenEdAdmin</t>
  </si>
  <si>
    <t>Blocked</t>
  </si>
  <si>
    <r>
      <t>Notes</t>
    </r>
    <r>
      <rPr>
        <i/>
        <sz val="11"/>
        <color theme="1"/>
        <rFont val="Calibri"/>
        <family val="2"/>
        <scheme val="minor"/>
      </rPr>
      <t xml:space="preserve"> (no hard line breaks please)</t>
    </r>
    <r>
      <rPr>
        <b/>
        <sz val="11"/>
        <color theme="1"/>
        <rFont val="Calibri"/>
        <family val="2"/>
        <scheme val="minor"/>
      </rPr>
      <t>:</t>
    </r>
  </si>
  <si>
    <t>4.6.40</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</si>
</sst>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_);[Red]\(0.00\)"/>
    <numFmt numFmtId="165" formatCode="[$-409]dd\-mmm\-yy;@"/>
    <numFmt numFmtId="166" formatCode="mm/dd/yy\ &quot;@&quot;\ hh:mm:ss"/>
  </numFmts>
  <fonts count="37" x14ac:knownFonts="1">
    <font>
      <sz val="11"/>
      <color theme="1"/>
      <name val="Calibri"/>
      <family val="2"/>
      <scheme val="minor"/>
    </font>
    <font>
      <b/>
      <sz val="11"/>
      <color theme="1"/>
      <name val="Calibri"/>
      <family val="2"/>
      <scheme val="minor"/>
    </font>
    <font>
      <sz val="11"/>
      <color theme="0"/>
      <name val="Calibri"/>
      <family val="2"/>
      <scheme val="minor"/>
    </font>
    <font>
      <sz val="11"/>
      <color theme="1"/>
      <name val="Calibri"/>
      <family val="2"/>
    </font>
    <font>
      <sz val="10"/>
      <color theme="1"/>
      <name val="Arial Unicode MS"/>
      <family val="2"/>
    </font>
    <font>
      <b/>
      <sz val="14"/>
      <color theme="0"/>
      <name val="Calibri"/>
      <family val="2"/>
      <scheme val="minor"/>
    </font>
    <font>
      <i/>
      <sz val="8"/>
      <color theme="4" tint="-0.499984740745262"/>
      <name val="Calibri"/>
      <family val="2"/>
      <scheme val="minor"/>
    </font>
    <font>
      <b/>
      <sz val="11"/>
      <color theme="3" tint="-0.499984740745262"/>
      <name val="Calibri"/>
      <family val="2"/>
      <scheme val="minor"/>
    </font>
    <font>
      <sz val="11"/>
      <color theme="4" tint="-0.499984740745262"/>
      <name val="Calibri"/>
      <family val="2"/>
      <scheme val="minor"/>
    </font>
    <font>
      <b/>
      <sz val="18"/>
      <color theme="4" tint="-0.499984740745262"/>
      <name val="Calibri"/>
      <family val="2"/>
      <scheme val="minor"/>
    </font>
    <font>
      <i/>
      <sz val="8"/>
      <color theme="1"/>
      <name val="Calibri"/>
      <family val="2"/>
      <scheme val="minor"/>
    </font>
    <font>
      <sz val="16"/>
      <color theme="0"/>
      <name val="Copperplate Gothic Bold"/>
      <family val="2"/>
    </font>
    <font>
      <sz val="16"/>
      <color theme="1"/>
      <name val="Calibri"/>
      <family val="2"/>
      <scheme val="minor"/>
    </font>
    <font>
      <sz val="9"/>
      <color indexed="81"/>
      <name val="Tahoma"/>
      <family val="2"/>
    </font>
    <font>
      <b/>
      <sz val="9"/>
      <color indexed="81"/>
      <name val="Tahoma"/>
      <family val="2"/>
    </font>
    <font>
      <b/>
      <sz val="12"/>
      <color theme="0"/>
      <name val="Calibri"/>
      <family val="2"/>
      <scheme val="minor"/>
    </font>
    <font>
      <sz val="12"/>
      <color theme="1"/>
      <name val="Calibri"/>
      <family val="2"/>
      <scheme val="minor"/>
    </font>
    <font>
      <b/>
      <sz val="12"/>
      <color theme="0"/>
      <name val="Calibri"/>
      <family val="2"/>
    </font>
    <font>
      <b/>
      <sz val="12"/>
      <color theme="1"/>
      <name val="Calibri"/>
      <family val="2"/>
      <scheme val="minor"/>
    </font>
    <font>
      <sz val="12"/>
      <color theme="0"/>
      <name val="Calibri"/>
      <family val="2"/>
      <scheme val="minor"/>
    </font>
    <font>
      <sz val="11"/>
      <color rgb="FFFF0000"/>
      <name val="Calibri"/>
      <family val="2"/>
      <scheme val="minor"/>
    </font>
    <font>
      <i/>
      <sz val="8"/>
      <color rgb="FF00B050"/>
      <name val="Calibri"/>
      <family val="2"/>
      <scheme val="minor"/>
    </font>
    <font>
      <sz val="11"/>
      <name val="Calibri"/>
      <family val="2"/>
      <scheme val="minor"/>
    </font>
    <font>
      <b/>
      <sz val="8"/>
      <name val="Calibri"/>
      <family val="2"/>
      <scheme val="minor"/>
    </font>
    <font>
      <b/>
      <i/>
      <sz val="8"/>
      <color rgb="FF00B050"/>
      <name val="Calibri"/>
      <family val="2"/>
      <scheme val="minor"/>
    </font>
    <font>
      <b/>
      <i/>
      <sz val="8"/>
      <color rgb="FFFF0000"/>
      <name val="Calibri"/>
      <family val="2"/>
      <scheme val="minor"/>
    </font>
    <font>
      <b/>
      <i/>
      <sz val="8"/>
      <color rgb="FF0070C0"/>
      <name val="Calibri"/>
      <family val="2"/>
      <scheme val="minor"/>
    </font>
    <font>
      <b/>
      <i/>
      <sz val="12"/>
      <color theme="0"/>
      <name val="Calibri"/>
      <family val="2"/>
    </font>
    <font>
      <sz val="12"/>
      <color theme="0"/>
      <name val="Copperplate Gothic Bold"/>
      <family val="2"/>
    </font>
    <font>
      <b/>
      <i/>
      <sz val="16"/>
      <color theme="0"/>
      <name val="Calibri"/>
      <family val="2"/>
      <scheme val="minor"/>
    </font>
    <font>
      <sz val="8"/>
      <color theme="0"/>
      <name val="Copperplate Gothic Bold"/>
      <family val="2"/>
    </font>
    <font>
      <sz val="14"/>
      <color theme="0"/>
      <name val="Copperplate Gothic Bold"/>
      <family val="2"/>
    </font>
    <font>
      <b/>
      <sz val="11"/>
      <color rgb="FFFF0000"/>
      <name val="Calibri"/>
      <family val="2"/>
      <scheme val="minor"/>
    </font>
    <font>
      <vertAlign val="superscript"/>
      <sz val="11"/>
      <color theme="1"/>
      <name val="Calibri"/>
      <family val="2"/>
      <scheme val="minor"/>
    </font>
    <font>
      <sz val="8"/>
      <color theme="1"/>
      <name val="Calibri"/>
      <family val="2"/>
      <scheme val="minor"/>
    </font>
    <font>
      <b/>
      <i/>
      <sz val="8"/>
      <color theme="0"/>
      <name val="Calibri Light"/>
      <family val="2"/>
      <scheme val="major"/>
    </font>
    <font>
      <i/>
      <sz val="11"/>
      <color theme="1"/>
      <name val="Calibri"/>
      <family val="2"/>
      <scheme val="minor"/>
    </font>
  </fonts>
  <fills count="7">
    <fill>
      <patternFill patternType="none"/>
    </fill>
    <fill>
      <patternFill patternType="gray125"/>
    </fill>
    <fill>
      <patternFill patternType="solid">
        <fgColor theme="8"/>
      </patternFill>
    </fill>
    <fill>
      <patternFill patternType="solid">
        <fgColor theme="2"/>
        <bgColor indexed="64"/>
      </patternFill>
    </fill>
    <fill>
      <patternFill patternType="solid">
        <fgColor theme="8" tint="0.39994506668294322"/>
        <bgColor indexed="64"/>
      </patternFill>
    </fill>
    <fill>
      <patternFill patternType="solid">
        <fgColor theme="4" tint="0.79998168889431442"/>
        <bgColor indexed="64"/>
      </patternFill>
    </fill>
    <fill>
      <patternFill patternType="solid">
        <fgColor theme="7" tint="0.79998168889431442"/>
        <bgColor indexed="64"/>
      </patternFill>
    </fill>
  </fills>
  <borders count="82">
    <border>
      <left/>
      <right/>
      <top/>
      <bottom/>
      <diagonal/>
    </border>
    <border>
      <left/>
      <right/>
      <top style="hair">
        <color auto="1"/>
      </top>
      <bottom style="hair">
        <color auto="1"/>
      </bottom>
      <diagonal/>
    </border>
    <border>
      <left style="hair">
        <color rgb="FF0070C0"/>
      </left>
      <right style="hair">
        <color rgb="FF0070C0"/>
      </right>
      <top style="hair">
        <color rgb="FF0070C0"/>
      </top>
      <bottom style="hair">
        <color rgb="FF0070C0"/>
      </bottom>
      <diagonal/>
    </border>
    <border>
      <left style="hair">
        <color rgb="FF0070C0"/>
      </left>
      <right style="thick">
        <color rgb="FF0070C0"/>
      </right>
      <top style="hair">
        <color rgb="FF0070C0"/>
      </top>
      <bottom style="hair">
        <color rgb="FF0070C0"/>
      </bottom>
      <diagonal/>
    </border>
    <border>
      <left style="thick">
        <color rgb="FF0070C0"/>
      </left>
      <right style="hair">
        <color rgb="FF0070C0"/>
      </right>
      <top/>
      <bottom style="hair">
        <color rgb="FF0070C0"/>
      </bottom>
      <diagonal/>
    </border>
    <border>
      <left style="hair">
        <color rgb="FF0070C0"/>
      </left>
      <right style="hair">
        <color rgb="FF0070C0"/>
      </right>
      <top/>
      <bottom style="hair">
        <color rgb="FF0070C0"/>
      </bottom>
      <diagonal/>
    </border>
    <border>
      <left style="hair">
        <color rgb="FF0070C0"/>
      </left>
      <right style="thick">
        <color rgb="FF0070C0"/>
      </right>
      <top/>
      <bottom style="hair">
        <color rgb="FF0070C0"/>
      </bottom>
      <diagonal/>
    </border>
    <border>
      <left/>
      <right/>
      <top/>
      <bottom style="hair">
        <color auto="1"/>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top style="hair">
        <color auto="1"/>
      </top>
      <bottom/>
      <diagonal/>
    </border>
    <border>
      <left style="thick">
        <color rgb="FF0070C0"/>
      </left>
      <right style="hair">
        <color rgb="FF0070C0"/>
      </right>
      <top style="hair">
        <color rgb="FF0070C0"/>
      </top>
      <bottom style="thin">
        <color theme="4" tint="-0.499984740745262"/>
      </bottom>
      <diagonal/>
    </border>
    <border>
      <left style="hair">
        <color rgb="FF0070C0"/>
      </left>
      <right style="thick">
        <color rgb="FF0070C0"/>
      </right>
      <top style="hair">
        <color rgb="FF0070C0"/>
      </top>
      <bottom style="thin">
        <color theme="4" tint="-0.499984740745262"/>
      </bottom>
      <diagonal/>
    </border>
    <border>
      <left/>
      <right/>
      <top style="thick">
        <color rgb="FF0070C0"/>
      </top>
      <bottom style="thick">
        <color theme="0"/>
      </bottom>
      <diagonal/>
    </border>
    <border>
      <left/>
      <right style="thick">
        <color rgb="FF0070C0"/>
      </right>
      <top style="thick">
        <color rgb="FF0070C0"/>
      </top>
      <bottom style="thick">
        <color theme="0"/>
      </bottom>
      <diagonal/>
    </border>
    <border>
      <left style="thin">
        <color auto="1"/>
      </left>
      <right style="hair">
        <color auto="1"/>
      </right>
      <top style="thin">
        <color auto="1"/>
      </top>
      <bottom style="hair">
        <color auto="1"/>
      </bottom>
      <diagonal/>
    </border>
    <border>
      <left style="hair">
        <color auto="1"/>
      </left>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hair">
        <color auto="1"/>
      </bottom>
      <diagonal/>
    </border>
    <border>
      <left/>
      <right style="hair">
        <color auto="1"/>
      </right>
      <top style="hair">
        <color auto="1"/>
      </top>
      <bottom style="hair">
        <color auto="1"/>
      </bottom>
      <diagonal/>
    </border>
    <border>
      <left/>
      <right/>
      <top/>
      <bottom style="thin">
        <color indexed="64"/>
      </bottom>
      <diagonal/>
    </border>
    <border>
      <left style="hair">
        <color auto="1"/>
      </left>
      <right/>
      <top style="hair">
        <color auto="1"/>
      </top>
      <bottom style="hair">
        <color auto="1"/>
      </bottom>
      <diagonal/>
    </border>
    <border>
      <left/>
      <right/>
      <top/>
      <bottom style="thick">
        <color theme="0"/>
      </bottom>
      <diagonal/>
    </border>
    <border>
      <left style="hair">
        <color rgb="FF0070C0"/>
      </left>
      <right/>
      <top/>
      <bottom style="hair">
        <color rgb="FF0070C0"/>
      </bottom>
      <diagonal/>
    </border>
    <border>
      <left style="hair">
        <color rgb="FF0070C0"/>
      </left>
      <right/>
      <top style="hair">
        <color rgb="FF0070C0"/>
      </top>
      <bottom style="hair">
        <color rgb="FF0070C0"/>
      </bottom>
      <diagonal/>
    </border>
    <border>
      <left style="hair">
        <color rgb="FF0070C0"/>
      </left>
      <right style="hair">
        <color rgb="FF0070C0"/>
      </right>
      <top style="hair">
        <color rgb="FF0070C0"/>
      </top>
      <bottom style="thin">
        <color rgb="FF0070C0"/>
      </bottom>
      <diagonal/>
    </border>
    <border>
      <left/>
      <right/>
      <top style="hair">
        <color rgb="FF0070C0"/>
      </top>
      <bottom style="thin">
        <color rgb="FF0070C0"/>
      </bottom>
      <diagonal/>
    </border>
    <border>
      <left/>
      <right style="hair">
        <color rgb="FF0070C0"/>
      </right>
      <top style="hair">
        <color rgb="FF0070C0"/>
      </top>
      <bottom style="thin">
        <color rgb="FF0070C0"/>
      </bottom>
      <diagonal/>
    </border>
    <border>
      <left style="thick">
        <color rgb="FF0070C0"/>
      </left>
      <right/>
      <top/>
      <bottom/>
      <diagonal/>
    </border>
    <border>
      <left style="hair">
        <color rgb="FF0070C0"/>
      </left>
      <right style="hair">
        <color rgb="FF0070C0"/>
      </right>
      <top style="hair">
        <color rgb="FF0070C0"/>
      </top>
      <bottom/>
      <diagonal/>
    </border>
    <border>
      <left/>
      <right style="thick">
        <color rgb="FF0070C0"/>
      </right>
      <top/>
      <bottom/>
      <diagonal/>
    </border>
    <border>
      <left style="hair">
        <color rgb="FF0070C0"/>
      </left>
      <right/>
      <top/>
      <bottom/>
      <diagonal/>
    </border>
    <border>
      <left style="thick">
        <color theme="4" tint="-0.499984740745262"/>
      </left>
      <right style="hair">
        <color rgb="FF0070C0"/>
      </right>
      <top style="thick">
        <color theme="0"/>
      </top>
      <bottom style="thick">
        <color theme="0"/>
      </bottom>
      <diagonal/>
    </border>
    <border>
      <left style="hair">
        <color rgb="FF0070C0"/>
      </left>
      <right style="hair">
        <color rgb="FF0070C0"/>
      </right>
      <top style="thick">
        <color theme="0"/>
      </top>
      <bottom style="thick">
        <color theme="0"/>
      </bottom>
      <diagonal/>
    </border>
    <border>
      <left style="hair">
        <color rgb="FF0070C0"/>
      </left>
      <right/>
      <top style="thick">
        <color theme="0"/>
      </top>
      <bottom style="thick">
        <color theme="0"/>
      </bottom>
      <diagonal/>
    </border>
    <border>
      <left style="hair">
        <color rgb="FF0070C0"/>
      </left>
      <right style="thick">
        <color theme="4" tint="-0.499984740745262"/>
      </right>
      <top style="thick">
        <color theme="0"/>
      </top>
      <bottom style="thick">
        <color theme="0"/>
      </bottom>
      <diagonal/>
    </border>
    <border>
      <left style="thick">
        <color rgb="FF0070C0"/>
      </left>
      <right style="hair">
        <color rgb="FF0070C0"/>
      </right>
      <top/>
      <bottom/>
      <diagonal/>
    </border>
    <border>
      <left/>
      <right/>
      <top style="hair">
        <color rgb="FF0070C0"/>
      </top>
      <bottom/>
      <diagonal/>
    </border>
    <border>
      <left style="hair">
        <color rgb="FF0070C0"/>
      </left>
      <right style="thick">
        <color rgb="FF0070C0"/>
      </right>
      <top style="hair">
        <color rgb="FF0070C0"/>
      </top>
      <bottom/>
      <diagonal/>
    </border>
    <border>
      <left style="hair">
        <color rgb="FF0070C0"/>
      </left>
      <right style="hair">
        <color rgb="FF0070C0"/>
      </right>
      <top/>
      <bottom/>
      <diagonal/>
    </border>
    <border>
      <left style="hair">
        <color rgb="FF0070C0"/>
      </left>
      <right style="hair">
        <color rgb="FF0070C0"/>
      </right>
      <top style="thin">
        <color rgb="FF0070C0"/>
      </top>
      <bottom style="hair">
        <color rgb="FF0070C0"/>
      </bottom>
      <diagonal/>
    </border>
    <border>
      <left/>
      <right style="hair">
        <color rgb="FF0070C0"/>
      </right>
      <top style="hair">
        <color rgb="FF0070C0"/>
      </top>
      <bottom/>
      <diagonal/>
    </border>
    <border>
      <left style="hair">
        <color rgb="FF0070C0"/>
      </left>
      <right style="hair">
        <color rgb="FF0070C0"/>
      </right>
      <top/>
      <bottom style="thin">
        <color rgb="FF0070C0"/>
      </bottom>
      <diagonal/>
    </border>
    <border>
      <left style="hair">
        <color rgb="FF0070C0"/>
      </left>
      <right/>
      <top/>
      <bottom style="thin">
        <color rgb="FF0070C0"/>
      </bottom>
      <diagonal/>
    </border>
    <border>
      <left/>
      <right/>
      <top/>
      <bottom style="thin">
        <color rgb="FF0070C0"/>
      </bottom>
      <diagonal/>
    </border>
    <border>
      <left style="thick">
        <color rgb="FF0070C0"/>
      </left>
      <right style="hair">
        <color rgb="FF0070C0"/>
      </right>
      <top style="hair">
        <color rgb="FF0070C0"/>
      </top>
      <bottom/>
      <diagonal/>
    </border>
    <border>
      <left style="hair">
        <color rgb="FF0070C0"/>
      </left>
      <right style="thick">
        <color rgb="FF0070C0"/>
      </right>
      <top/>
      <bottom style="thin">
        <color theme="4" tint="-0.499984740745262"/>
      </bottom>
      <diagonal/>
    </border>
    <border>
      <left style="hair">
        <color rgb="FF0070C0"/>
      </left>
      <right style="thick">
        <color rgb="FF0070C0"/>
      </right>
      <top style="hair">
        <color rgb="FF0070C0"/>
      </top>
      <bottom style="thin">
        <color rgb="FF0070C0"/>
      </bottom>
      <diagonal/>
    </border>
    <border>
      <left style="thin">
        <color theme="4" tint="-0.499984740745262"/>
      </left>
      <right/>
      <top style="thin">
        <color theme="4" tint="-0.499984740745262"/>
      </top>
      <bottom style="thin">
        <color theme="4" tint="-0.499984740745262"/>
      </bottom>
      <diagonal/>
    </border>
    <border>
      <left/>
      <right/>
      <top style="thin">
        <color theme="4" tint="-0.499984740745262"/>
      </top>
      <bottom style="thin">
        <color theme="4" tint="-0.499984740745262"/>
      </bottom>
      <diagonal/>
    </border>
    <border>
      <left/>
      <right style="thin">
        <color theme="4" tint="-0.499984740745262"/>
      </right>
      <top style="thin">
        <color theme="4" tint="-0.499984740745262"/>
      </top>
      <bottom style="thin">
        <color theme="4" tint="-0.499984740745262"/>
      </bottom>
      <diagonal/>
    </border>
    <border>
      <left/>
      <right style="thick">
        <color rgb="FF0070C0"/>
      </right>
      <top style="thin">
        <color rgb="FF0070C0"/>
      </top>
      <bottom style="thin">
        <color rgb="FF0070C0"/>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right/>
      <top style="thick">
        <color rgb="FF0070C0"/>
      </top>
      <bottom/>
      <diagonal/>
    </border>
    <border>
      <left/>
      <right style="thick">
        <color rgb="FF0070C0"/>
      </right>
      <top style="thick">
        <color rgb="FF0070C0"/>
      </top>
      <bottom/>
      <diagonal/>
    </border>
    <border>
      <left style="thin">
        <color theme="4" tint="-0.499984740745262"/>
      </left>
      <right/>
      <top/>
      <bottom style="thin">
        <color theme="4" tint="-0.499984740745262"/>
      </bottom>
      <diagonal/>
    </border>
    <border>
      <left/>
      <right/>
      <top/>
      <bottom style="thin">
        <color theme="4" tint="-0.499984740745262"/>
      </bottom>
      <diagonal/>
    </border>
    <border>
      <left/>
      <right style="thin">
        <color theme="4" tint="-0.499984740745262"/>
      </right>
      <top/>
      <bottom style="thin">
        <color theme="4" tint="-0.499984740745262"/>
      </bottom>
      <diagonal/>
    </border>
    <border>
      <left style="hair">
        <color rgb="FF0070C0"/>
      </left>
      <right style="hair">
        <color rgb="FF0070C0"/>
      </right>
      <top style="medium">
        <color theme="0"/>
      </top>
      <bottom style="double">
        <color theme="0"/>
      </bottom>
      <diagonal/>
    </border>
    <border>
      <left style="hair">
        <color rgb="FF0070C0"/>
      </left>
      <right/>
      <top style="medium">
        <color theme="0"/>
      </top>
      <bottom style="double">
        <color theme="0"/>
      </bottom>
      <diagonal/>
    </border>
    <border>
      <left style="hair">
        <color rgb="FF0070C0"/>
      </left>
      <right style="thick">
        <color theme="4" tint="-0.499984740745262"/>
      </right>
      <top style="medium">
        <color theme="0"/>
      </top>
      <bottom style="double">
        <color theme="0"/>
      </bottom>
      <diagonal/>
    </border>
    <border>
      <left style="hair">
        <color rgb="FF0070C0"/>
      </left>
      <right/>
      <top style="hair">
        <color rgb="FF0070C0"/>
      </top>
      <bottom style="thin">
        <color rgb="FF0070C0"/>
      </bottom>
      <diagonal/>
    </border>
    <border>
      <left style="thick">
        <color rgb="FF0070C0"/>
      </left>
      <right style="hair">
        <color rgb="FF0070C0"/>
      </right>
      <top/>
      <bottom style="thin">
        <color theme="4" tint="-0.499984740745262"/>
      </bottom>
      <diagonal/>
    </border>
    <border>
      <left style="thick">
        <color rgb="FF0070C0"/>
      </left>
      <right style="hair">
        <color rgb="FF0070C0"/>
      </right>
      <top style="thin">
        <color theme="4" tint="-0.499984740745262"/>
      </top>
      <bottom style="hair">
        <color rgb="FF0070C0"/>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hair">
        <color rgb="FF0070C0"/>
      </left>
      <right/>
      <top style="hair">
        <color rgb="FF0070C0"/>
      </top>
      <bottom/>
      <diagonal/>
    </border>
    <border>
      <left style="thin">
        <color auto="1"/>
      </left>
      <right style="thin">
        <color auto="1"/>
      </right>
      <top style="thin">
        <color auto="1"/>
      </top>
      <bottom style="thin">
        <color auto="1"/>
      </bottom>
      <diagonal/>
    </border>
    <border>
      <left style="thin">
        <color auto="1"/>
      </left>
      <right/>
      <top style="hair">
        <color auto="1"/>
      </top>
      <bottom style="hair">
        <color auto="1"/>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hair">
        <color auto="1"/>
      </left>
      <right/>
      <top style="hair">
        <color auto="1"/>
      </top>
      <bottom/>
      <diagonal/>
    </border>
    <border>
      <left/>
      <right style="hair">
        <color auto="1"/>
      </right>
      <top style="hair">
        <color auto="1"/>
      </top>
      <bottom/>
      <diagonal/>
    </border>
    <border>
      <left style="hair">
        <color auto="1"/>
      </left>
      <right/>
      <top/>
      <bottom style="hair">
        <color auto="1"/>
      </bottom>
      <diagonal/>
    </border>
    <border>
      <left/>
      <right style="hair">
        <color auto="1"/>
      </right>
      <top/>
      <bottom style="hair">
        <color auto="1"/>
      </bottom>
      <diagonal/>
    </border>
  </borders>
  <cellStyleXfs count="2">
    <xf numFmtId="0" fontId="0" fillId="0" borderId="0"/>
    <xf numFmtId="0" fontId="2" fillId="2" borderId="0" applyNumberFormat="0" applyBorder="0" applyAlignment="0" applyProtection="0"/>
  </cellStyleXfs>
  <cellXfs count="295">
    <xf numFmtId="0" fontId="0" fillId="0" borderId="0" xfId="0"/>
    <xf numFmtId="0" fontId="0" fillId="0" borderId="0" xfId="0" applyAlignment="1">
      <alignment horizontal="center"/>
    </xf>
    <xf numFmtId="0" fontId="0" fillId="0" borderId="0" xfId="0" applyAlignment="1">
      <alignment wrapText="1"/>
    </xf>
    <xf numFmtId="0" fontId="1" fillId="0" borderId="0" xfId="0" applyFont="1"/>
    <xf numFmtId="0" fontId="0" fillId="0" borderId="2" xfId="0" applyBorder="1" applyAlignment="1" applyProtection="1">
      <alignment horizontal="left" vertical="top" wrapText="1"/>
      <protection locked="0"/>
    </xf>
    <xf numFmtId="0" fontId="3"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Border="1" applyAlignment="1" applyProtection="1">
      <alignment horizontal="left" vertical="top" wrapText="1"/>
    </xf>
    <xf numFmtId="0" fontId="0" fillId="0" borderId="2" xfId="0" applyBorder="1" applyAlignment="1">
      <alignment horizontal="left" vertical="top" wrapText="1"/>
    </xf>
    <xf numFmtId="0" fontId="0" fillId="0" borderId="0" xfId="0" applyFont="1"/>
    <xf numFmtId="0" fontId="0" fillId="0" borderId="5" xfId="0" applyBorder="1" applyAlignment="1" applyProtection="1">
      <alignment horizontal="left" vertical="top" wrapText="1"/>
      <protection locked="0"/>
    </xf>
    <xf numFmtId="0" fontId="0" fillId="0" borderId="5" xfId="0" applyBorder="1" applyAlignment="1">
      <alignment horizontal="left" vertical="top" wrapText="1"/>
    </xf>
    <xf numFmtId="0" fontId="0" fillId="0" borderId="5" xfId="0" applyBorder="1" applyAlignment="1" applyProtection="1">
      <alignment horizontal="left" vertical="top" wrapText="1"/>
    </xf>
    <xf numFmtId="1" fontId="0" fillId="0" borderId="0" xfId="0" applyNumberFormat="1" applyAlignment="1">
      <alignment horizontal="center" vertical="center"/>
    </xf>
    <xf numFmtId="0" fontId="0" fillId="0" borderId="5" xfId="0" applyFill="1" applyBorder="1" applyAlignment="1" applyProtection="1">
      <alignment horizontal="left" vertical="center" wrapText="1"/>
      <protection locked="0"/>
    </xf>
    <xf numFmtId="0" fontId="0" fillId="0" borderId="2" xfId="0" applyFill="1" applyBorder="1" applyAlignment="1" applyProtection="1">
      <alignment horizontal="left" vertical="center" wrapText="1"/>
      <protection locked="0"/>
    </xf>
    <xf numFmtId="0" fontId="3" fillId="0" borderId="2" xfId="0" applyFont="1" applyFill="1" applyBorder="1" applyAlignment="1" applyProtection="1">
      <alignment horizontal="left" vertical="center" wrapText="1"/>
      <protection locked="0"/>
    </xf>
    <xf numFmtId="0" fontId="0" fillId="0" borderId="2" xfId="0" applyFont="1" applyFill="1" applyBorder="1" applyAlignment="1" applyProtection="1">
      <alignment horizontal="left" vertical="center" wrapText="1"/>
      <protection locked="0"/>
    </xf>
    <xf numFmtId="0" fontId="0" fillId="0" borderId="5" xfId="0" applyFill="1" applyBorder="1" applyAlignment="1" applyProtection="1">
      <alignment horizontal="left" vertical="center" wrapText="1"/>
    </xf>
    <xf numFmtId="0" fontId="0" fillId="0" borderId="2" xfId="0" applyFill="1" applyBorder="1" applyAlignment="1" applyProtection="1">
      <alignment horizontal="left" vertical="center" wrapText="1"/>
    </xf>
    <xf numFmtId="0" fontId="0" fillId="0" borderId="5" xfId="0" applyFill="1" applyBorder="1" applyAlignment="1">
      <alignment horizontal="left" vertical="center" wrapText="1"/>
    </xf>
    <xf numFmtId="0" fontId="0" fillId="0" borderId="2" xfId="0" applyFill="1" applyBorder="1" applyAlignment="1">
      <alignment horizontal="left" vertical="center" wrapText="1"/>
    </xf>
    <xf numFmtId="0" fontId="0" fillId="0" borderId="5" xfId="0" applyFill="1" applyBorder="1" applyAlignment="1" applyProtection="1">
      <alignment horizontal="left" vertical="top" wrapText="1"/>
      <protection locked="0"/>
    </xf>
    <xf numFmtId="165" fontId="0" fillId="0" borderId="2" xfId="0" applyNumberFormat="1" applyBorder="1" applyAlignment="1">
      <alignment vertical="center"/>
    </xf>
    <xf numFmtId="165" fontId="0" fillId="0" borderId="0" xfId="0" applyNumberFormat="1"/>
    <xf numFmtId="0" fontId="0" fillId="0" borderId="0" xfId="0" applyFill="1"/>
    <xf numFmtId="165" fontId="0" fillId="0" borderId="5" xfId="0" applyNumberFormat="1" applyBorder="1" applyAlignment="1">
      <alignment vertical="center"/>
    </xf>
    <xf numFmtId="0" fontId="0" fillId="0" borderId="0" xfId="0" applyProtection="1"/>
    <xf numFmtId="166" fontId="0" fillId="0" borderId="0" xfId="0" applyNumberFormat="1" applyFont="1" applyAlignment="1">
      <alignment horizontal="center" vertical="center"/>
    </xf>
    <xf numFmtId="166" fontId="0" fillId="0" borderId="0" xfId="0" applyNumberFormat="1" applyAlignment="1">
      <alignment horizontal="center" vertical="center"/>
    </xf>
    <xf numFmtId="166" fontId="0" fillId="0" borderId="0" xfId="0" applyNumberFormat="1" applyFont="1" applyBorder="1" applyAlignment="1">
      <alignment horizontal="center" vertical="center"/>
    </xf>
    <xf numFmtId="166" fontId="0" fillId="0" borderId="0" xfId="0" applyNumberFormat="1" applyBorder="1" applyAlignment="1">
      <alignment horizontal="center" vertical="center"/>
    </xf>
    <xf numFmtId="1" fontId="1" fillId="0" borderId="15" xfId="0" applyNumberFormat="1" applyFont="1" applyBorder="1" applyAlignment="1">
      <alignment horizontal="center" vertical="center"/>
    </xf>
    <xf numFmtId="1" fontId="1" fillId="0" borderId="17" xfId="0" applyNumberFormat="1" applyFont="1" applyBorder="1" applyAlignment="1">
      <alignment horizontal="center" vertical="center"/>
    </xf>
    <xf numFmtId="1" fontId="1" fillId="0" borderId="18" xfId="0" applyNumberFormat="1" applyFont="1" applyBorder="1" applyAlignment="1">
      <alignment horizontal="center" vertical="center"/>
    </xf>
    <xf numFmtId="1" fontId="1" fillId="0" borderId="0" xfId="0" applyNumberFormat="1" applyFont="1"/>
    <xf numFmtId="166" fontId="7" fillId="0" borderId="15" xfId="0" applyNumberFormat="1" applyFont="1" applyBorder="1" applyAlignment="1">
      <alignment horizontal="center" vertical="center"/>
    </xf>
    <xf numFmtId="166" fontId="7" fillId="0" borderId="16" xfId="0" applyNumberFormat="1" applyFont="1" applyBorder="1" applyAlignment="1">
      <alignment horizontal="center" vertical="center"/>
    </xf>
    <xf numFmtId="1" fontId="7" fillId="0" borderId="19" xfId="0" applyNumberFormat="1" applyFont="1" applyBorder="1" applyAlignment="1">
      <alignment horizontal="center" vertical="center" wrapText="1"/>
    </xf>
    <xf numFmtId="1" fontId="7" fillId="0" borderId="20" xfId="0" applyNumberFormat="1" applyFont="1" applyBorder="1" applyAlignment="1">
      <alignment horizontal="center" vertical="center" wrapText="1"/>
    </xf>
    <xf numFmtId="0" fontId="0" fillId="0" borderId="0" xfId="0" applyAlignment="1">
      <alignment horizontal="left" vertical="center"/>
    </xf>
    <xf numFmtId="1" fontId="7" fillId="0" borderId="22" xfId="0" applyNumberFormat="1" applyFont="1" applyBorder="1" applyAlignment="1">
      <alignment horizontal="center" vertical="center" wrapText="1"/>
    </xf>
    <xf numFmtId="0" fontId="6" fillId="0" borderId="0" xfId="0" applyFont="1" applyAlignment="1">
      <alignment horizontal="left"/>
    </xf>
    <xf numFmtId="1" fontId="0" fillId="0" borderId="0" xfId="0" applyNumberFormat="1" applyBorder="1" applyAlignment="1">
      <alignment horizontal="center" vertical="center"/>
    </xf>
    <xf numFmtId="1" fontId="7" fillId="0" borderId="8" xfId="0" applyNumberFormat="1" applyFont="1" applyBorder="1" applyAlignment="1">
      <alignment horizontal="center" vertical="center" wrapText="1"/>
    </xf>
    <xf numFmtId="1" fontId="7" fillId="0" borderId="21" xfId="0" applyNumberFormat="1" applyFont="1" applyBorder="1" applyAlignment="1">
      <alignment horizontal="center" vertical="center" wrapText="1"/>
    </xf>
    <xf numFmtId="1" fontId="0" fillId="0" borderId="9" xfId="0" applyNumberFormat="1" applyFont="1" applyBorder="1" applyAlignment="1">
      <alignment horizontal="center" vertical="center"/>
    </xf>
    <xf numFmtId="0" fontId="1" fillId="0" borderId="23" xfId="0" applyFont="1" applyBorder="1"/>
    <xf numFmtId="0" fontId="0" fillId="0" borderId="0" xfId="0" applyBorder="1"/>
    <xf numFmtId="0" fontId="0" fillId="0" borderId="0" xfId="0" applyFont="1" applyBorder="1"/>
    <xf numFmtId="0" fontId="9" fillId="0" borderId="0" xfId="0" applyFont="1" applyAlignment="1">
      <alignment horizontal="left" vertical="center"/>
    </xf>
    <xf numFmtId="0" fontId="0" fillId="0" borderId="5" xfId="0" applyBorder="1" applyAlignment="1" applyProtection="1">
      <alignment horizontal="center" vertical="center" wrapText="1"/>
    </xf>
    <xf numFmtId="1" fontId="1" fillId="0" borderId="4" xfId="0" applyNumberFormat="1" applyFont="1" applyBorder="1" applyAlignment="1" applyProtection="1">
      <alignment horizontal="center" vertical="center"/>
    </xf>
    <xf numFmtId="1" fontId="1" fillId="0" borderId="4"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0" fillId="0" borderId="2" xfId="0" applyFill="1" applyBorder="1" applyAlignment="1" applyProtection="1">
      <alignment horizontal="center" vertical="center" wrapText="1"/>
      <protection locked="0"/>
    </xf>
    <xf numFmtId="0" fontId="0" fillId="0" borderId="5" xfId="0" applyFill="1" applyBorder="1" applyAlignment="1" applyProtection="1">
      <alignment horizontal="center" vertical="center" wrapText="1"/>
      <protection locked="0"/>
    </xf>
    <xf numFmtId="0" fontId="0" fillId="0" borderId="0" xfId="0" applyProtection="1">
      <protection locked="0"/>
    </xf>
    <xf numFmtId="1" fontId="10" fillId="3" borderId="11" xfId="0" applyNumberFormat="1" applyFont="1" applyFill="1" applyBorder="1" applyAlignment="1" applyProtection="1">
      <alignment horizontal="left" vertical="center"/>
    </xf>
    <xf numFmtId="1" fontId="7" fillId="0" borderId="24" xfId="0" applyNumberFormat="1" applyFont="1" applyBorder="1" applyAlignment="1">
      <alignment horizontal="center" vertical="center" wrapText="1"/>
    </xf>
    <xf numFmtId="0" fontId="12" fillId="0" borderId="0" xfId="0" applyFont="1"/>
    <xf numFmtId="0" fontId="12" fillId="0" borderId="0" xfId="0" applyFont="1" applyProtection="1"/>
    <xf numFmtId="22" fontId="0" fillId="0" borderId="2" xfId="0" applyNumberFormat="1" applyFont="1" applyFill="1" applyBorder="1" applyAlignment="1" applyProtection="1">
      <alignment horizontal="left" vertical="center" wrapText="1"/>
      <protection locked="0"/>
    </xf>
    <xf numFmtId="22" fontId="0" fillId="0" borderId="2" xfId="0" applyNumberFormat="1" applyFill="1" applyBorder="1" applyAlignment="1" applyProtection="1">
      <alignment horizontal="left" vertical="center" wrapText="1"/>
    </xf>
    <xf numFmtId="0" fontId="0" fillId="0" borderId="0" xfId="0" applyFont="1" applyFill="1" applyBorder="1"/>
    <xf numFmtId="0" fontId="0" fillId="0" borderId="6" xfId="0" applyBorder="1" applyAlignment="1" applyProtection="1">
      <alignment horizontal="left" vertical="center" wrapText="1"/>
      <protection locked="0"/>
    </xf>
    <xf numFmtId="0" fontId="0" fillId="3" borderId="12" xfId="0" applyFill="1" applyBorder="1" applyAlignment="1" applyProtection="1">
      <alignment vertical="center" wrapText="1"/>
    </xf>
    <xf numFmtId="0" fontId="0" fillId="0" borderId="3" xfId="0" applyBorder="1" applyAlignment="1" applyProtection="1">
      <alignment horizontal="left" vertical="center" wrapText="1"/>
      <protection locked="0"/>
    </xf>
    <xf numFmtId="0" fontId="0" fillId="0" borderId="6" xfId="0" applyFill="1" applyBorder="1" applyAlignment="1" applyProtection="1">
      <alignment horizontal="left" vertical="center" wrapText="1"/>
      <protection locked="0"/>
    </xf>
    <xf numFmtId="165" fontId="0" fillId="0" borderId="26" xfId="0" applyNumberFormat="1" applyBorder="1" applyAlignment="1">
      <alignment vertical="center"/>
    </xf>
    <xf numFmtId="165" fontId="0" fillId="0" borderId="27" xfId="0" applyNumberFormat="1" applyBorder="1" applyAlignment="1">
      <alignment vertical="center"/>
    </xf>
    <xf numFmtId="1" fontId="5" fillId="0" borderId="31" xfId="1" applyNumberFormat="1" applyFont="1" applyFill="1" applyBorder="1" applyAlignment="1" applyProtection="1">
      <alignment horizontal="center" vertical="center"/>
    </xf>
    <xf numFmtId="0" fontId="5" fillId="0" borderId="33" xfId="1" applyFont="1" applyFill="1" applyBorder="1" applyAlignment="1">
      <alignment horizontal="left" vertical="top" wrapText="1"/>
    </xf>
    <xf numFmtId="0" fontId="16" fillId="0" borderId="0" xfId="0" applyFont="1"/>
    <xf numFmtId="49" fontId="0" fillId="0" borderId="26" xfId="0" applyNumberFormat="1" applyBorder="1" applyAlignment="1">
      <alignment horizontal="center" vertical="center" wrapText="1"/>
    </xf>
    <xf numFmtId="49" fontId="0" fillId="0" borderId="27" xfId="0" applyNumberFormat="1" applyBorder="1" applyAlignment="1">
      <alignment horizontal="center" vertical="center" wrapText="1"/>
    </xf>
    <xf numFmtId="49" fontId="0" fillId="0" borderId="0" xfId="0" applyNumberFormat="1" applyAlignment="1">
      <alignment horizontal="center" vertical="center" wrapText="1"/>
    </xf>
    <xf numFmtId="0" fontId="16" fillId="0" borderId="0" xfId="0" applyFont="1" applyBorder="1" applyProtection="1"/>
    <xf numFmtId="1" fontId="1" fillId="0" borderId="39" xfId="0" applyNumberFormat="1" applyFont="1" applyBorder="1" applyAlignment="1" applyProtection="1">
      <alignment horizontal="center" vertical="center"/>
    </xf>
    <xf numFmtId="22" fontId="21" fillId="3" borderId="28" xfId="0" applyNumberFormat="1" applyFont="1" applyFill="1" applyBorder="1" applyAlignment="1" applyProtection="1">
      <alignment horizontal="center" vertical="center" wrapText="1"/>
    </xf>
    <xf numFmtId="0" fontId="20" fillId="0" borderId="6" xfId="0" applyFont="1" applyFill="1" applyBorder="1" applyAlignment="1" applyProtection="1">
      <alignment horizontal="left" vertical="center" wrapText="1"/>
      <protection locked="0"/>
    </xf>
    <xf numFmtId="0" fontId="20" fillId="0" borderId="3" xfId="0" applyFont="1" applyBorder="1" applyAlignment="1" applyProtection="1">
      <alignment horizontal="left" vertical="center" wrapText="1"/>
      <protection locked="0"/>
    </xf>
    <xf numFmtId="22" fontId="21" fillId="3" borderId="32" xfId="0" applyNumberFormat="1" applyFont="1" applyFill="1" applyBorder="1" applyAlignment="1" applyProtection="1">
      <alignment horizontal="center" vertical="center" wrapText="1"/>
    </xf>
    <xf numFmtId="0" fontId="0" fillId="3" borderId="41" xfId="0" applyFill="1" applyBorder="1" applyAlignment="1" applyProtection="1">
      <alignment vertical="center" wrapText="1"/>
    </xf>
    <xf numFmtId="0" fontId="20" fillId="0" borderId="5" xfId="0" applyFont="1" applyFill="1" applyBorder="1" applyAlignment="1" applyProtection="1">
      <alignment horizontal="left" vertical="center" wrapText="1"/>
      <protection locked="0"/>
    </xf>
    <xf numFmtId="0" fontId="20" fillId="0" borderId="5" xfId="0" applyFont="1" applyFill="1" applyBorder="1" applyAlignment="1" applyProtection="1">
      <alignment horizontal="left" vertical="top" wrapText="1"/>
      <protection locked="0"/>
    </xf>
    <xf numFmtId="0" fontId="0" fillId="0" borderId="5" xfId="0" applyBorder="1" applyAlignment="1" applyProtection="1">
      <alignment horizontal="left" vertical="center" wrapText="1"/>
      <protection locked="0"/>
    </xf>
    <xf numFmtId="0" fontId="0" fillId="0" borderId="2" xfId="0" applyBorder="1" applyAlignment="1" applyProtection="1">
      <alignment horizontal="left" vertical="center" wrapText="1"/>
      <protection locked="0"/>
    </xf>
    <xf numFmtId="0" fontId="0" fillId="0" borderId="5" xfId="0" applyBorder="1" applyAlignment="1" applyProtection="1">
      <alignment horizontal="left" vertical="center" wrapText="1"/>
    </xf>
    <xf numFmtId="0" fontId="0" fillId="0" borderId="2" xfId="0" applyBorder="1" applyAlignment="1" applyProtection="1">
      <alignment horizontal="left" vertical="center" wrapText="1"/>
    </xf>
    <xf numFmtId="0" fontId="0" fillId="0" borderId="5" xfId="0" applyBorder="1" applyAlignment="1">
      <alignment horizontal="left" vertical="center" wrapText="1"/>
    </xf>
    <xf numFmtId="0" fontId="0" fillId="0" borderId="2" xfId="0" applyBorder="1" applyAlignment="1">
      <alignment horizontal="left" vertical="center" wrapText="1"/>
    </xf>
    <xf numFmtId="0" fontId="0" fillId="0" borderId="0" xfId="0" applyAlignment="1">
      <alignment vertical="center"/>
    </xf>
    <xf numFmtId="0" fontId="22" fillId="0" borderId="5" xfId="0" applyFont="1" applyFill="1" applyBorder="1" applyAlignment="1" applyProtection="1">
      <alignment horizontal="left" vertical="center" wrapText="1"/>
      <protection locked="0"/>
    </xf>
    <xf numFmtId="0" fontId="22" fillId="0" borderId="5" xfId="0" applyFont="1" applyFill="1" applyBorder="1" applyAlignment="1" applyProtection="1">
      <alignment horizontal="left" vertical="top" wrapText="1"/>
      <protection locked="0"/>
    </xf>
    <xf numFmtId="0" fontId="22" fillId="0" borderId="5" xfId="0" applyFont="1" applyBorder="1" applyAlignment="1">
      <alignment horizontal="left" vertical="top" wrapText="1"/>
    </xf>
    <xf numFmtId="0" fontId="20" fillId="0" borderId="2" xfId="0" applyFont="1" applyBorder="1" applyAlignment="1">
      <alignment horizontal="left" vertical="top" wrapText="1"/>
    </xf>
    <xf numFmtId="0" fontId="22" fillId="0" borderId="2"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top" wrapText="1"/>
      <protection locked="0"/>
    </xf>
    <xf numFmtId="22" fontId="25" fillId="3" borderId="28" xfId="0" applyNumberFormat="1" applyFont="1" applyFill="1" applyBorder="1" applyAlignment="1" applyProtection="1">
      <alignment horizontal="center" vertical="center" wrapText="1"/>
    </xf>
    <xf numFmtId="0" fontId="24" fillId="3" borderId="34" xfId="0" applyFont="1" applyFill="1" applyBorder="1" applyAlignment="1" applyProtection="1">
      <alignment horizontal="center" vertical="center"/>
    </xf>
    <xf numFmtId="0" fontId="24" fillId="3" borderId="0" xfId="0" applyFont="1" applyFill="1" applyBorder="1" applyAlignment="1" applyProtection="1">
      <alignment horizontal="center" vertical="center"/>
    </xf>
    <xf numFmtId="0" fontId="26" fillId="3" borderId="28" xfId="0" applyFont="1" applyFill="1" applyBorder="1" applyAlignment="1" applyProtection="1">
      <alignment horizontal="center" vertical="center" wrapText="1"/>
    </xf>
    <xf numFmtId="0" fontId="24" fillId="3" borderId="46" xfId="0" applyFont="1" applyFill="1" applyBorder="1" applyAlignment="1" applyProtection="1">
      <alignment horizontal="center" vertical="center"/>
    </xf>
    <xf numFmtId="0" fontId="24" fillId="3" borderId="47" xfId="0" applyFont="1" applyFill="1" applyBorder="1" applyAlignment="1" applyProtection="1">
      <alignment horizontal="center" vertical="center"/>
    </xf>
    <xf numFmtId="49" fontId="25" fillId="3" borderId="28" xfId="0" applyNumberFormat="1" applyFont="1" applyFill="1" applyBorder="1" applyAlignment="1" applyProtection="1">
      <alignment horizontal="center" vertical="center" wrapText="1"/>
    </xf>
    <xf numFmtId="49" fontId="0" fillId="0" borderId="5" xfId="0" applyNumberFormat="1" applyBorder="1" applyAlignment="1" applyProtection="1">
      <alignment horizontal="left" vertical="center" wrapText="1"/>
      <protection locked="0"/>
    </xf>
    <xf numFmtId="49" fontId="0" fillId="0" borderId="2" xfId="0" applyNumberFormat="1" applyBorder="1" applyAlignment="1" applyProtection="1">
      <alignment horizontal="left" vertical="center" wrapText="1"/>
      <protection locked="0"/>
    </xf>
    <xf numFmtId="49" fontId="3" fillId="0" borderId="2" xfId="0" applyNumberFormat="1" applyFont="1" applyFill="1" applyBorder="1" applyAlignment="1" applyProtection="1">
      <alignment horizontal="left" vertical="center" wrapText="1"/>
      <protection locked="0"/>
    </xf>
    <xf numFmtId="49" fontId="0" fillId="0" borderId="2" xfId="0" applyNumberFormat="1" applyFont="1" applyFill="1" applyBorder="1" applyAlignment="1" applyProtection="1">
      <alignment horizontal="left" vertical="center" wrapText="1"/>
      <protection locked="0"/>
    </xf>
    <xf numFmtId="49" fontId="0" fillId="0" borderId="5" xfId="0" applyNumberFormat="1" applyBorder="1" applyAlignment="1" applyProtection="1">
      <alignment horizontal="left" vertical="top" wrapText="1"/>
    </xf>
    <xf numFmtId="49" fontId="0" fillId="0" borderId="2" xfId="0" applyNumberFormat="1" applyBorder="1" applyAlignment="1" applyProtection="1">
      <alignment horizontal="left" vertical="top" wrapText="1"/>
    </xf>
    <xf numFmtId="49" fontId="0" fillId="0" borderId="5" xfId="0" applyNumberFormat="1" applyBorder="1" applyAlignment="1" applyProtection="1">
      <alignment horizontal="left" vertical="top" wrapText="1"/>
      <protection locked="0"/>
    </xf>
    <xf numFmtId="49" fontId="0" fillId="0" borderId="2" xfId="0" applyNumberFormat="1" applyBorder="1" applyAlignment="1" applyProtection="1">
      <alignment horizontal="left" vertical="top" wrapText="1"/>
      <protection locked="0"/>
    </xf>
    <xf numFmtId="49" fontId="0" fillId="0" borderId="5" xfId="0" applyNumberFormat="1" applyBorder="1" applyAlignment="1">
      <alignment horizontal="left" vertical="top" wrapText="1"/>
    </xf>
    <xf numFmtId="49" fontId="0" fillId="0" borderId="2" xfId="0" applyNumberFormat="1" applyBorder="1" applyAlignment="1">
      <alignment horizontal="left" vertical="top" wrapText="1"/>
    </xf>
    <xf numFmtId="49" fontId="0" fillId="0" borderId="5" xfId="0" applyNumberFormat="1" applyFill="1" applyBorder="1" applyAlignment="1" applyProtection="1">
      <alignment horizontal="left" vertical="center" wrapText="1"/>
      <protection locked="0"/>
    </xf>
    <xf numFmtId="49" fontId="0" fillId="0" borderId="0" xfId="0" applyNumberFormat="1" applyAlignment="1">
      <alignment vertical="center"/>
    </xf>
    <xf numFmtId="165" fontId="0" fillId="0" borderId="43" xfId="0" applyNumberFormat="1" applyBorder="1" applyAlignment="1">
      <alignment vertical="center"/>
    </xf>
    <xf numFmtId="0" fontId="0" fillId="3" borderId="49" xfId="0" applyFill="1" applyBorder="1" applyAlignment="1" applyProtection="1">
      <alignment vertical="center" wrapText="1"/>
    </xf>
    <xf numFmtId="0" fontId="0" fillId="0" borderId="50" xfId="0" applyBorder="1" applyAlignment="1" applyProtection="1">
      <alignment horizontal="left" vertical="center" wrapText="1"/>
      <protection locked="0"/>
    </xf>
    <xf numFmtId="1" fontId="10" fillId="3" borderId="48" xfId="0" applyNumberFormat="1" applyFont="1" applyFill="1" applyBorder="1" applyAlignment="1" applyProtection="1">
      <alignment horizontal="left" vertical="center"/>
    </xf>
    <xf numFmtId="0" fontId="26" fillId="3" borderId="32" xfId="0" applyFont="1" applyFill="1" applyBorder="1" applyAlignment="1" applyProtection="1">
      <alignment horizontal="center" vertical="center" wrapText="1"/>
    </xf>
    <xf numFmtId="22" fontId="25" fillId="3" borderId="32" xfId="0" applyNumberFormat="1" applyFont="1" applyFill="1" applyBorder="1" applyAlignment="1" applyProtection="1">
      <alignment horizontal="center" vertical="center" wrapText="1"/>
    </xf>
    <xf numFmtId="1" fontId="18" fillId="4" borderId="51" xfId="0" applyNumberFormat="1" applyFont="1" applyFill="1" applyBorder="1" applyAlignment="1" applyProtection="1">
      <alignment horizontal="center" vertical="center"/>
    </xf>
    <xf numFmtId="0" fontId="19" fillId="4" borderId="52" xfId="1" applyFont="1" applyFill="1" applyBorder="1" applyAlignment="1">
      <alignment horizontal="left" vertical="center"/>
    </xf>
    <xf numFmtId="0" fontId="19" fillId="4" borderId="52" xfId="1" applyFont="1" applyFill="1" applyBorder="1" applyAlignment="1" applyProtection="1">
      <alignment horizontal="left" vertical="top"/>
    </xf>
    <xf numFmtId="0" fontId="19" fillId="4" borderId="52" xfId="1" applyFont="1" applyFill="1" applyBorder="1" applyAlignment="1" applyProtection="1">
      <alignment horizontal="left" vertical="top"/>
      <protection locked="0"/>
    </xf>
    <xf numFmtId="0" fontId="19" fillId="4" borderId="52" xfId="1" applyFont="1" applyFill="1" applyBorder="1" applyAlignment="1">
      <alignment horizontal="left" vertical="top"/>
    </xf>
    <xf numFmtId="49" fontId="19" fillId="4" borderId="52" xfId="1" applyNumberFormat="1" applyFont="1" applyFill="1" applyBorder="1" applyAlignment="1">
      <alignment horizontal="center" vertical="center" wrapText="1"/>
    </xf>
    <xf numFmtId="0" fontId="19" fillId="4" borderId="53" xfId="1" applyFont="1" applyFill="1" applyBorder="1" applyAlignment="1">
      <alignment horizontal="left" vertical="top" wrapText="1"/>
    </xf>
    <xf numFmtId="0" fontId="0" fillId="0" borderId="42" xfId="0" applyFill="1" applyBorder="1" applyAlignment="1" applyProtection="1">
      <alignment horizontal="center" vertical="center" wrapText="1"/>
      <protection locked="0"/>
    </xf>
    <xf numFmtId="165" fontId="0" fillId="0" borderId="42" xfId="0" applyNumberFormat="1" applyBorder="1" applyAlignment="1">
      <alignment vertical="center"/>
    </xf>
    <xf numFmtId="165" fontId="0" fillId="0" borderId="34" xfId="0" applyNumberFormat="1" applyBorder="1" applyAlignment="1">
      <alignment vertical="center"/>
    </xf>
    <xf numFmtId="49" fontId="0" fillId="0" borderId="34" xfId="0" applyNumberFormat="1" applyBorder="1" applyAlignment="1">
      <alignment horizontal="center" vertical="center" wrapText="1"/>
    </xf>
    <xf numFmtId="0" fontId="26" fillId="3" borderId="45" xfId="0" applyFont="1" applyFill="1" applyBorder="1" applyAlignment="1" applyProtection="1">
      <alignment horizontal="center" vertical="center" wrapText="1"/>
    </xf>
    <xf numFmtId="22" fontId="25" fillId="3" borderId="45" xfId="0" applyNumberFormat="1" applyFont="1" applyFill="1" applyBorder="1" applyAlignment="1" applyProtection="1">
      <alignment horizontal="center" vertical="center" wrapText="1"/>
    </xf>
    <xf numFmtId="0" fontId="23" fillId="0" borderId="54" xfId="1" applyFont="1" applyFill="1" applyBorder="1" applyAlignment="1">
      <alignment horizontal="center" vertical="center" wrapText="1"/>
    </xf>
    <xf numFmtId="49" fontId="21" fillId="3" borderId="32" xfId="0" applyNumberFormat="1" applyFont="1" applyFill="1" applyBorder="1" applyAlignment="1" applyProtection="1">
      <alignment horizontal="center" vertical="center" wrapText="1"/>
    </xf>
    <xf numFmtId="49" fontId="19" fillId="4" borderId="52" xfId="1" applyNumberFormat="1" applyFont="1" applyFill="1" applyBorder="1" applyAlignment="1">
      <alignment horizontal="left" vertical="center"/>
    </xf>
    <xf numFmtId="49" fontId="25" fillId="3" borderId="32" xfId="0" applyNumberFormat="1" applyFont="1" applyFill="1" applyBorder="1" applyAlignment="1" applyProtection="1">
      <alignment horizontal="center" vertical="center" wrapText="1"/>
    </xf>
    <xf numFmtId="22" fontId="0" fillId="0" borderId="5" xfId="0" applyNumberFormat="1" applyFill="1" applyBorder="1" applyAlignment="1" applyProtection="1">
      <alignment horizontal="left" vertical="center" wrapText="1"/>
      <protection locked="0"/>
    </xf>
    <xf numFmtId="1" fontId="18" fillId="4" borderId="55" xfId="0" applyNumberFormat="1" applyFont="1" applyFill="1" applyBorder="1" applyAlignment="1" applyProtection="1">
      <alignment horizontal="center" vertical="center"/>
    </xf>
    <xf numFmtId="0" fontId="19" fillId="4" borderId="56" xfId="1" applyFont="1" applyFill="1" applyBorder="1" applyAlignment="1">
      <alignment horizontal="left" vertical="center"/>
    </xf>
    <xf numFmtId="0" fontId="19" fillId="4" borderId="56" xfId="1" applyFont="1" applyFill="1" applyBorder="1" applyAlignment="1" applyProtection="1">
      <alignment horizontal="left" vertical="top"/>
    </xf>
    <xf numFmtId="0" fontId="19" fillId="4" borderId="56" xfId="1" applyFont="1" applyFill="1" applyBorder="1" applyAlignment="1" applyProtection="1">
      <alignment horizontal="left" vertical="top"/>
      <protection locked="0"/>
    </xf>
    <xf numFmtId="0" fontId="19" fillId="4" borderId="56" xfId="1" applyFont="1" applyFill="1" applyBorder="1" applyAlignment="1">
      <alignment horizontal="left" vertical="top"/>
    </xf>
    <xf numFmtId="49" fontId="19" fillId="4" borderId="56" xfId="1" applyNumberFormat="1" applyFont="1" applyFill="1" applyBorder="1" applyAlignment="1">
      <alignment horizontal="center" vertical="center" wrapText="1"/>
    </xf>
    <xf numFmtId="0" fontId="19" fillId="4" borderId="57" xfId="1" applyFont="1" applyFill="1" applyBorder="1" applyAlignment="1">
      <alignment horizontal="left" vertical="top" wrapText="1"/>
    </xf>
    <xf numFmtId="49" fontId="25" fillId="3" borderId="45" xfId="0" applyNumberFormat="1" applyFont="1" applyFill="1" applyBorder="1" applyAlignment="1" applyProtection="1">
      <alignment horizontal="center" vertical="center" wrapText="1"/>
    </xf>
    <xf numFmtId="0" fontId="17" fillId="4" borderId="52" xfId="1" applyFont="1" applyFill="1" applyBorder="1" applyAlignment="1">
      <alignment horizontal="left" vertical="top" wrapText="1"/>
    </xf>
    <xf numFmtId="0" fontId="17" fillId="4" borderId="52" xfId="1" applyFont="1" applyFill="1" applyBorder="1" applyAlignment="1">
      <alignment horizontal="left" vertical="top"/>
    </xf>
    <xf numFmtId="0" fontId="0" fillId="0" borderId="43" xfId="0" applyBorder="1" applyAlignment="1" applyProtection="1">
      <alignment horizontal="center" vertical="center" wrapText="1"/>
    </xf>
    <xf numFmtId="0" fontId="0" fillId="0" borderId="2" xfId="0" applyBorder="1" applyAlignment="1" applyProtection="1">
      <alignment horizontal="center" vertical="center" wrapText="1"/>
    </xf>
    <xf numFmtId="0" fontId="0" fillId="0" borderId="5" xfId="0" applyFill="1" applyBorder="1" applyAlignment="1" applyProtection="1">
      <alignment horizontal="center" vertical="center" wrapText="1"/>
    </xf>
    <xf numFmtId="1" fontId="18" fillId="4" borderId="60" xfId="0" applyNumberFormat="1" applyFont="1" applyFill="1" applyBorder="1" applyAlignment="1" applyProtection="1">
      <alignment horizontal="center" vertical="center"/>
    </xf>
    <xf numFmtId="0" fontId="17" fillId="4" borderId="61" xfId="1" applyFont="1" applyFill="1" applyBorder="1" applyAlignment="1">
      <alignment horizontal="left" vertical="top" wrapText="1"/>
    </xf>
    <xf numFmtId="0" fontId="19" fillId="4" borderId="61" xfId="1" applyFont="1" applyFill="1" applyBorder="1" applyAlignment="1">
      <alignment horizontal="left" vertical="center"/>
    </xf>
    <xf numFmtId="0" fontId="19" fillId="4" borderId="61" xfId="1" applyFont="1" applyFill="1" applyBorder="1" applyAlignment="1" applyProtection="1">
      <alignment horizontal="left" vertical="top"/>
    </xf>
    <xf numFmtId="0" fontId="19" fillId="4" borderId="61" xfId="1" applyFont="1" applyFill="1" applyBorder="1" applyAlignment="1" applyProtection="1">
      <alignment horizontal="left" vertical="top"/>
      <protection locked="0"/>
    </xf>
    <xf numFmtId="0" fontId="19" fillId="4" borderId="61" xfId="1" applyFont="1" applyFill="1" applyBorder="1" applyAlignment="1">
      <alignment horizontal="left" vertical="top"/>
    </xf>
    <xf numFmtId="49" fontId="19" fillId="4" borderId="61" xfId="1" applyNumberFormat="1" applyFont="1" applyFill="1" applyBorder="1" applyAlignment="1">
      <alignment horizontal="center" vertical="center" wrapText="1"/>
    </xf>
    <xf numFmtId="0" fontId="19" fillId="4" borderId="62" xfId="1" applyFont="1" applyFill="1" applyBorder="1" applyAlignment="1">
      <alignment horizontal="left" vertical="top" wrapText="1"/>
    </xf>
    <xf numFmtId="0" fontId="8" fillId="5" borderId="0" xfId="0" applyFont="1" applyFill="1" applyAlignment="1">
      <alignment horizontal="left" vertical="center"/>
    </xf>
    <xf numFmtId="0" fontId="0" fillId="5" borderId="0" xfId="0" applyFill="1" applyAlignment="1">
      <alignment horizontal="center"/>
    </xf>
    <xf numFmtId="0" fontId="0" fillId="5" borderId="0" xfId="0" applyFill="1"/>
    <xf numFmtId="0" fontId="4" fillId="5" borderId="0" xfId="0" applyFont="1" applyFill="1" applyAlignment="1">
      <alignment vertical="center"/>
    </xf>
    <xf numFmtId="0" fontId="0" fillId="5" borderId="0" xfId="0" applyFill="1" applyProtection="1"/>
    <xf numFmtId="0" fontId="0" fillId="0" borderId="7" xfId="0" applyFill="1" applyBorder="1" applyAlignment="1">
      <alignment horizontal="left" vertical="center"/>
    </xf>
    <xf numFmtId="0" fontId="0" fillId="0" borderId="1" xfId="0" applyFill="1" applyBorder="1" applyAlignment="1">
      <alignment horizontal="left" vertical="center"/>
    </xf>
    <xf numFmtId="0" fontId="0" fillId="0" borderId="7" xfId="0" applyFont="1" applyFill="1" applyBorder="1" applyAlignment="1" applyProtection="1">
      <alignment horizontal="left" vertical="center"/>
    </xf>
    <xf numFmtId="0" fontId="0" fillId="0" borderId="1" xfId="0" applyFont="1" applyFill="1" applyBorder="1" applyAlignment="1" applyProtection="1">
      <alignment horizontal="left" vertical="center"/>
    </xf>
    <xf numFmtId="0" fontId="0" fillId="0" borderId="7" xfId="0" applyFill="1" applyBorder="1" applyAlignment="1" applyProtection="1">
      <alignment horizontal="center"/>
    </xf>
    <xf numFmtId="0" fontId="0" fillId="0" borderId="0" xfId="0" applyFill="1" applyBorder="1" applyAlignment="1" applyProtection="1">
      <alignment horizontal="center"/>
    </xf>
    <xf numFmtId="0" fontId="0" fillId="0" borderId="1" xfId="0" applyFill="1" applyBorder="1" applyAlignment="1" applyProtection="1">
      <alignment horizontal="center"/>
    </xf>
    <xf numFmtId="9" fontId="0" fillId="0" borderId="1" xfId="0" applyNumberFormat="1" applyFill="1" applyBorder="1" applyAlignment="1" applyProtection="1">
      <alignment horizontal="center"/>
    </xf>
    <xf numFmtId="0" fontId="0" fillId="0" borderId="1" xfId="0" applyFont="1" applyFill="1" applyBorder="1" applyAlignment="1" applyProtection="1">
      <alignment horizontal="right" vertical="center"/>
    </xf>
    <xf numFmtId="0" fontId="0" fillId="0" borderId="10" xfId="0" applyFont="1" applyFill="1" applyBorder="1" applyAlignment="1" applyProtection="1">
      <alignment horizontal="right" vertical="center"/>
    </xf>
    <xf numFmtId="9" fontId="0" fillId="0" borderId="0" xfId="0" applyNumberFormat="1" applyFill="1" applyBorder="1" applyAlignment="1" applyProtection="1">
      <alignment horizontal="center"/>
    </xf>
    <xf numFmtId="0" fontId="0" fillId="0" borderId="1" xfId="0" applyFont="1" applyFill="1" applyBorder="1" applyAlignment="1">
      <alignment horizontal="left" vertical="center"/>
    </xf>
    <xf numFmtId="164" fontId="0" fillId="0" borderId="1" xfId="0" applyNumberFormat="1" applyFill="1" applyBorder="1" applyAlignment="1" applyProtection="1">
      <alignment horizontal="center" vertical="center"/>
    </xf>
    <xf numFmtId="164" fontId="0" fillId="0" borderId="1" xfId="0" applyNumberFormat="1" applyFill="1" applyBorder="1" applyAlignment="1" applyProtection="1">
      <alignment horizontal="center"/>
    </xf>
    <xf numFmtId="164" fontId="0" fillId="0" borderId="7" xfId="0" applyNumberFormat="1" applyFill="1" applyBorder="1" applyAlignment="1" applyProtection="1">
      <alignment horizontal="center" vertical="center"/>
    </xf>
    <xf numFmtId="164" fontId="0" fillId="0" borderId="7" xfId="0" applyNumberFormat="1" applyFill="1" applyBorder="1" applyAlignment="1" applyProtection="1">
      <alignment horizontal="center"/>
    </xf>
    <xf numFmtId="0" fontId="24" fillId="3" borderId="66" xfId="0" applyFont="1" applyFill="1" applyBorder="1" applyAlignment="1" applyProtection="1">
      <alignment horizontal="center" vertical="center"/>
    </xf>
    <xf numFmtId="0" fontId="24" fillId="3" borderId="30" xfId="0" applyFont="1" applyFill="1" applyBorder="1" applyAlignment="1" applyProtection="1">
      <alignment horizontal="center" vertical="center"/>
    </xf>
    <xf numFmtId="0" fontId="0" fillId="0" borderId="42" xfId="0" applyFill="1" applyBorder="1" applyAlignment="1" applyProtection="1">
      <alignment horizontal="left" vertical="center" wrapText="1"/>
      <protection locked="0"/>
    </xf>
    <xf numFmtId="0" fontId="0" fillId="0" borderId="42" xfId="0" applyBorder="1" applyAlignment="1" applyProtection="1">
      <alignment horizontal="left" vertical="center" wrapText="1"/>
      <protection locked="0"/>
    </xf>
    <xf numFmtId="0" fontId="0" fillId="0" borderId="32" xfId="0" applyFill="1" applyBorder="1" applyAlignment="1" applyProtection="1">
      <alignment horizontal="left" vertical="center" wrapText="1"/>
      <protection locked="0"/>
    </xf>
    <xf numFmtId="0" fontId="0" fillId="0" borderId="32" xfId="0" applyBorder="1" applyAlignment="1" applyProtection="1">
      <alignment horizontal="left" vertical="center" wrapText="1"/>
      <protection locked="0"/>
    </xf>
    <xf numFmtId="1" fontId="10" fillId="3" borderId="67" xfId="0" applyNumberFormat="1" applyFont="1" applyFill="1" applyBorder="1" applyAlignment="1" applyProtection="1">
      <alignment horizontal="left" vertical="center"/>
    </xf>
    <xf numFmtId="1" fontId="1" fillId="0" borderId="68" xfId="0" applyNumberFormat="1" applyFont="1" applyBorder="1" applyAlignment="1" applyProtection="1">
      <alignment horizontal="center" vertical="center"/>
    </xf>
    <xf numFmtId="0" fontId="0" fillId="0" borderId="42" xfId="0" applyFill="1" applyBorder="1" applyAlignment="1" applyProtection="1">
      <alignment horizontal="center" vertical="center" wrapText="1"/>
    </xf>
    <xf numFmtId="1" fontId="15" fillId="4" borderId="69" xfId="1" applyNumberFormat="1" applyFont="1" applyFill="1" applyBorder="1" applyAlignment="1" applyProtection="1">
      <alignment horizontal="center" vertical="center"/>
    </xf>
    <xf numFmtId="0" fontId="17" fillId="4" borderId="70" xfId="1" applyFont="1" applyFill="1" applyBorder="1" applyAlignment="1">
      <alignment horizontal="left" vertical="top" wrapText="1"/>
    </xf>
    <xf numFmtId="0" fontId="15" fillId="4" borderId="70" xfId="1" applyFont="1" applyFill="1" applyBorder="1" applyAlignment="1">
      <alignment horizontal="left" vertical="center"/>
    </xf>
    <xf numFmtId="0" fontId="15" fillId="4" borderId="70" xfId="1" applyFont="1" applyFill="1" applyBorder="1" applyAlignment="1" applyProtection="1">
      <alignment horizontal="left" vertical="top"/>
    </xf>
    <xf numFmtId="0" fontId="15" fillId="4" borderId="70" xfId="1" applyFont="1" applyFill="1" applyBorder="1" applyAlignment="1" applyProtection="1">
      <alignment horizontal="left" vertical="top"/>
      <protection locked="0"/>
    </xf>
    <xf numFmtId="165" fontId="15" fillId="4" borderId="70" xfId="1" applyNumberFormat="1" applyFont="1" applyFill="1" applyBorder="1" applyAlignment="1">
      <alignment horizontal="left" vertical="top"/>
    </xf>
    <xf numFmtId="49" fontId="15" fillId="4" borderId="70" xfId="1" applyNumberFormat="1" applyFont="1" applyFill="1" applyBorder="1" applyAlignment="1">
      <alignment horizontal="center" vertical="center" wrapText="1"/>
    </xf>
    <xf numFmtId="0" fontId="15" fillId="4" borderId="71" xfId="1" applyFont="1" applyFill="1" applyBorder="1" applyAlignment="1">
      <alignment horizontal="left" vertical="top" wrapText="1"/>
    </xf>
    <xf numFmtId="0" fontId="24" fillId="3" borderId="72" xfId="0" applyFont="1" applyFill="1" applyBorder="1" applyAlignment="1" applyProtection="1">
      <alignment horizontal="center" vertical="center"/>
    </xf>
    <xf numFmtId="0" fontId="24" fillId="3" borderId="44" xfId="0" applyFont="1" applyFill="1" applyBorder="1" applyAlignment="1" applyProtection="1">
      <alignment horizontal="center" vertical="center"/>
    </xf>
    <xf numFmtId="0" fontId="11" fillId="4" borderId="13" xfId="0" quotePrefix="1" applyFont="1" applyFill="1" applyBorder="1" applyAlignment="1" applyProtection="1">
      <alignment horizontal="left" vertical="center"/>
    </xf>
    <xf numFmtId="49" fontId="11" fillId="4" borderId="13" xfId="0" quotePrefix="1" applyNumberFormat="1" applyFont="1" applyFill="1" applyBorder="1" applyAlignment="1" applyProtection="1">
      <alignment horizontal="center" vertical="center" wrapText="1"/>
    </xf>
    <xf numFmtId="0" fontId="29" fillId="4" borderId="14" xfId="0" applyFont="1" applyFill="1" applyBorder="1" applyAlignment="1" applyProtection="1">
      <alignment horizontal="left" vertical="center" wrapText="1"/>
    </xf>
    <xf numFmtId="22" fontId="15" fillId="4" borderId="36" xfId="1" applyNumberFormat="1" applyFont="1" applyFill="1" applyBorder="1" applyAlignment="1" applyProtection="1">
      <alignment horizontal="left" vertical="center" wrapText="1"/>
    </xf>
    <xf numFmtId="0" fontId="15" fillId="4" borderId="36" xfId="1" applyFont="1" applyFill="1" applyBorder="1" applyAlignment="1" applyProtection="1">
      <alignment vertical="center" wrapText="1"/>
    </xf>
    <xf numFmtId="0" fontId="15" fillId="4" borderId="36" xfId="1" applyFont="1" applyFill="1" applyBorder="1" applyAlignment="1" applyProtection="1">
      <alignment horizontal="center" vertical="center" wrapText="1"/>
    </xf>
    <xf numFmtId="165" fontId="15" fillId="4" borderId="36" xfId="1" applyNumberFormat="1" applyFont="1" applyFill="1" applyBorder="1" applyAlignment="1" applyProtection="1">
      <alignment horizontal="center" vertical="center"/>
    </xf>
    <xf numFmtId="165" fontId="15" fillId="4" borderId="37" xfId="1" applyNumberFormat="1" applyFont="1" applyFill="1" applyBorder="1" applyAlignment="1" applyProtection="1">
      <alignment horizontal="center" vertical="center"/>
    </xf>
    <xf numFmtId="49" fontId="15" fillId="4" borderId="37" xfId="1" applyNumberFormat="1" applyFont="1" applyFill="1" applyBorder="1" applyAlignment="1" applyProtection="1">
      <alignment horizontal="center" vertical="center" wrapText="1"/>
    </xf>
    <xf numFmtId="0" fontId="15" fillId="4" borderId="38" xfId="1" applyFont="1" applyFill="1" applyBorder="1" applyAlignment="1" applyProtection="1">
      <alignment horizontal="left" vertical="center" wrapText="1"/>
    </xf>
    <xf numFmtId="49" fontId="15" fillId="4" borderId="36" xfId="1" applyNumberFormat="1" applyFont="1" applyFill="1" applyBorder="1" applyAlignment="1" applyProtection="1">
      <alignment vertical="center" wrapText="1"/>
    </xf>
    <xf numFmtId="0" fontId="17" fillId="4" borderId="56" xfId="1" applyFont="1" applyFill="1" applyBorder="1" applyAlignment="1">
      <alignment horizontal="left" vertical="top" wrapText="1"/>
    </xf>
    <xf numFmtId="0" fontId="17" fillId="4" borderId="56" xfId="1" applyFont="1" applyFill="1" applyBorder="1" applyAlignment="1">
      <alignment horizontal="left" vertical="top"/>
    </xf>
    <xf numFmtId="0" fontId="11" fillId="4" borderId="58" xfId="0" quotePrefix="1" applyFont="1" applyFill="1" applyBorder="1" applyAlignment="1" applyProtection="1">
      <alignment horizontal="left" vertical="center"/>
    </xf>
    <xf numFmtId="49" fontId="11" fillId="4" borderId="58" xfId="0" quotePrefix="1" applyNumberFormat="1" applyFont="1" applyFill="1" applyBorder="1" applyAlignment="1" applyProtection="1">
      <alignment horizontal="center" vertical="center" wrapText="1"/>
    </xf>
    <xf numFmtId="0" fontId="29" fillId="4" borderId="59" xfId="0" applyFont="1" applyFill="1" applyBorder="1" applyAlignment="1" applyProtection="1">
      <alignment horizontal="left" vertical="center" wrapText="1"/>
    </xf>
    <xf numFmtId="22" fontId="15" fillId="4" borderId="63" xfId="1" applyNumberFormat="1" applyFont="1" applyFill="1" applyBorder="1" applyAlignment="1" applyProtection="1">
      <alignment horizontal="left" vertical="center" wrapText="1"/>
    </xf>
    <xf numFmtId="0" fontId="15" fillId="4" borderId="63" xfId="1" applyFont="1" applyFill="1" applyBorder="1" applyAlignment="1" applyProtection="1">
      <alignment vertical="center" wrapText="1"/>
    </xf>
    <xf numFmtId="0" fontId="15" fillId="4" borderId="63" xfId="1" applyFont="1" applyFill="1" applyBorder="1" applyAlignment="1" applyProtection="1">
      <alignment horizontal="center" vertical="center" wrapText="1"/>
    </xf>
    <xf numFmtId="165" fontId="15" fillId="4" borderId="63" xfId="1" applyNumberFormat="1" applyFont="1" applyFill="1" applyBorder="1" applyAlignment="1" applyProtection="1">
      <alignment horizontal="center" vertical="center"/>
    </xf>
    <xf numFmtId="165" fontId="15" fillId="4" borderId="64" xfId="1" applyNumberFormat="1" applyFont="1" applyFill="1" applyBorder="1" applyAlignment="1" applyProtection="1">
      <alignment horizontal="center" vertical="center"/>
    </xf>
    <xf numFmtId="49" fontId="15" fillId="4" borderId="64" xfId="1" applyNumberFormat="1" applyFont="1" applyFill="1" applyBorder="1" applyAlignment="1" applyProtection="1">
      <alignment horizontal="center" vertical="center" wrapText="1"/>
    </xf>
    <xf numFmtId="0" fontId="15" fillId="4" borderId="65" xfId="1" applyFont="1" applyFill="1" applyBorder="1" applyAlignment="1" applyProtection="1">
      <alignment horizontal="left" vertical="center" wrapText="1"/>
    </xf>
    <xf numFmtId="0" fontId="2" fillId="4" borderId="25" xfId="0" applyFont="1" applyFill="1" applyBorder="1"/>
    <xf numFmtId="0" fontId="12" fillId="4" borderId="0" xfId="0" applyFont="1" applyFill="1"/>
    <xf numFmtId="0" fontId="30" fillId="4" borderId="25" xfId="0" applyFont="1" applyFill="1" applyBorder="1" applyAlignment="1">
      <alignment horizontal="center" vertical="center"/>
    </xf>
    <xf numFmtId="0" fontId="28" fillId="4" borderId="25" xfId="0" applyFont="1" applyFill="1" applyBorder="1" applyAlignment="1">
      <alignment horizontal="left" vertical="center"/>
    </xf>
    <xf numFmtId="0" fontId="28" fillId="4" borderId="13" xfId="0" quotePrefix="1" applyFont="1" applyFill="1" applyBorder="1" applyAlignment="1" applyProtection="1">
      <alignment horizontal="left" vertical="center"/>
    </xf>
    <xf numFmtId="0" fontId="28" fillId="4" borderId="0" xfId="0" applyFont="1" applyFill="1" applyBorder="1" applyAlignment="1">
      <alignment horizontal="left" vertical="center"/>
    </xf>
    <xf numFmtId="0" fontId="28" fillId="4" borderId="58" xfId="0" quotePrefix="1" applyFont="1" applyFill="1" applyBorder="1" applyAlignment="1" applyProtection="1">
      <alignment horizontal="left" vertical="center"/>
    </xf>
    <xf numFmtId="0" fontId="11" fillId="4" borderId="0" xfId="0" applyFont="1" applyFill="1" applyAlignment="1">
      <alignment horizontal="left" vertical="center"/>
    </xf>
    <xf numFmtId="1" fontId="11" fillId="4" borderId="0" xfId="0" applyNumberFormat="1" applyFont="1" applyFill="1" applyAlignment="1">
      <alignment horizontal="left" vertical="center"/>
    </xf>
    <xf numFmtId="0" fontId="31" fillId="4" borderId="25" xfId="0" applyFont="1" applyFill="1" applyBorder="1" applyAlignment="1">
      <alignment horizontal="left" vertical="center"/>
    </xf>
    <xf numFmtId="0" fontId="28" fillId="4" borderId="13" xfId="0" quotePrefix="1" applyFont="1" applyFill="1" applyBorder="1" applyAlignment="1" applyProtection="1">
      <alignment vertical="center"/>
    </xf>
    <xf numFmtId="0" fontId="31" fillId="4" borderId="0" xfId="0" applyFont="1" applyFill="1" applyBorder="1" applyAlignment="1">
      <alignment horizontal="left" vertical="center"/>
    </xf>
    <xf numFmtId="0" fontId="31" fillId="4" borderId="0" xfId="0" applyFont="1" applyFill="1" applyAlignment="1">
      <alignment horizontal="left" vertical="center"/>
    </xf>
    <xf numFmtId="1" fontId="28" fillId="4" borderId="0" xfId="0" applyNumberFormat="1" applyFont="1" applyFill="1" applyAlignment="1">
      <alignment horizontal="left" vertical="center"/>
    </xf>
    <xf numFmtId="0" fontId="0" fillId="0" borderId="73" xfId="0" applyBorder="1"/>
    <xf numFmtId="166" fontId="0" fillId="0" borderId="74" xfId="0" applyNumberFormat="1" applyFont="1" applyBorder="1" applyAlignment="1">
      <alignment horizontal="center" vertical="center"/>
    </xf>
    <xf numFmtId="166" fontId="0" fillId="0" borderId="24" xfId="0" applyNumberFormat="1" applyFont="1" applyBorder="1" applyAlignment="1">
      <alignment horizontal="center" vertical="center"/>
    </xf>
    <xf numFmtId="1" fontId="15" fillId="4" borderId="35" xfId="1" applyNumberFormat="1" applyFont="1" applyFill="1" applyBorder="1" applyAlignment="1" applyProtection="1">
      <alignment horizontal="center" vertical="center" wrapText="1"/>
    </xf>
    <xf numFmtId="0" fontId="24" fillId="3" borderId="29" xfId="0" applyFont="1" applyFill="1" applyBorder="1" applyAlignment="1" applyProtection="1">
      <alignment horizontal="center" vertical="center"/>
    </xf>
    <xf numFmtId="0" fontId="24" fillId="3" borderId="40" xfId="0" applyFont="1" applyFill="1" applyBorder="1" applyAlignment="1" applyProtection="1">
      <alignment horizontal="center" vertical="center"/>
    </xf>
    <xf numFmtId="0" fontId="22" fillId="0" borderId="3" xfId="0" applyFont="1" applyBorder="1" applyAlignment="1" applyProtection="1">
      <alignment horizontal="left" vertical="center" wrapText="1"/>
      <protection locked="0"/>
    </xf>
    <xf numFmtId="0" fontId="22" fillId="0" borderId="6"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center" wrapText="1"/>
      <protection locked="0"/>
    </xf>
    <xf numFmtId="0" fontId="22" fillId="0" borderId="32" xfId="0" applyFont="1" applyFill="1" applyBorder="1" applyAlignment="1" applyProtection="1">
      <alignment horizontal="left" vertical="center" wrapText="1"/>
      <protection locked="0"/>
    </xf>
    <xf numFmtId="0" fontId="22" fillId="0" borderId="32" xfId="0" applyFont="1" applyBorder="1" applyAlignment="1" applyProtection="1">
      <alignment horizontal="left" vertical="center" wrapText="1"/>
      <protection locked="0"/>
    </xf>
    <xf numFmtId="0" fontId="22" fillId="0" borderId="41" xfId="0" applyFont="1" applyBorder="1" applyAlignment="1" applyProtection="1">
      <alignment horizontal="left" vertical="center" wrapText="1"/>
      <protection locked="0"/>
    </xf>
    <xf numFmtId="0" fontId="22" fillId="0" borderId="6" xfId="0" applyFont="1" applyBorder="1" applyAlignment="1" applyProtection="1">
      <alignment horizontal="left" vertical="center" wrapText="1"/>
      <protection locked="0"/>
    </xf>
    <xf numFmtId="49" fontId="22" fillId="0" borderId="2" xfId="0" applyNumberFormat="1" applyFont="1" applyBorder="1" applyAlignment="1" applyProtection="1">
      <alignment horizontal="left" vertical="top" wrapText="1"/>
      <protection locked="0"/>
    </xf>
    <xf numFmtId="49" fontId="22" fillId="0" borderId="2" xfId="0" applyNumberFormat="1" applyFont="1" applyBorder="1" applyAlignment="1" applyProtection="1">
      <alignment horizontal="left" vertical="center" wrapText="1"/>
      <protection locked="0"/>
    </xf>
    <xf numFmtId="0" fontId="1" fillId="5" borderId="0" xfId="0" applyFont="1" applyFill="1" applyAlignment="1">
      <alignment horizontal="left" vertical="center"/>
    </xf>
    <xf numFmtId="0" fontId="0" fillId="5" borderId="0" xfId="0" applyFill="1" applyAlignment="1">
      <alignment horizontal="right" vertical="center"/>
    </xf>
    <xf numFmtId="0" fontId="0" fillId="5" borderId="0" xfId="0" applyFill="1" applyAlignment="1">
      <alignment horizontal="center" vertical="center"/>
    </xf>
    <xf numFmtId="0" fontId="0" fillId="5" borderId="0" xfId="0" applyFill="1" applyAlignment="1">
      <alignment horizontal="left" vertical="center"/>
    </xf>
    <xf numFmtId="0" fontId="0" fillId="5" borderId="0" xfId="0" applyFont="1" applyFill="1" applyBorder="1" applyAlignment="1" applyProtection="1">
      <alignment horizontal="left" vertical="center"/>
    </xf>
    <xf numFmtId="0" fontId="0" fillId="5" borderId="0" xfId="0" applyFill="1" applyBorder="1" applyAlignment="1">
      <alignment horizontal="left" vertical="center"/>
    </xf>
    <xf numFmtId="1" fontId="33" fillId="0" borderId="7" xfId="0" applyNumberFormat="1" applyFont="1" applyFill="1" applyBorder="1" applyAlignment="1" applyProtection="1">
      <alignment horizontal="left" vertical="center"/>
    </xf>
    <xf numFmtId="1" fontId="33" fillId="0" borderId="0" xfId="0" applyNumberFormat="1" applyFont="1" applyFill="1" applyBorder="1" applyAlignment="1" applyProtection="1">
      <alignment horizontal="left" vertical="center"/>
    </xf>
    <xf numFmtId="9" fontId="0" fillId="0" borderId="10" xfId="0" applyNumberFormat="1" applyFill="1" applyBorder="1" applyAlignment="1" applyProtection="1">
      <alignment horizontal="center"/>
    </xf>
    <xf numFmtId="0" fontId="34" fillId="5" borderId="0" xfId="0" applyFont="1" applyFill="1"/>
    <xf numFmtId="0" fontId="34" fillId="5" borderId="10" xfId="0" applyFont="1" applyFill="1" applyBorder="1" applyAlignment="1" applyProtection="1">
      <alignment horizontal="left" vertical="center"/>
    </xf>
    <xf numFmtId="0" fontId="34" fillId="5" borderId="10" xfId="0" applyFont="1" applyFill="1" applyBorder="1" applyAlignment="1">
      <alignment horizontal="right" vertical="center"/>
    </xf>
    <xf numFmtId="0" fontId="34" fillId="0" borderId="0" xfId="0" applyFont="1"/>
    <xf numFmtId="0" fontId="34" fillId="5" borderId="0" xfId="0" applyFont="1" applyFill="1" applyBorder="1" applyAlignment="1" applyProtection="1">
      <alignment horizontal="left" vertical="center"/>
    </xf>
    <xf numFmtId="0" fontId="34" fillId="5" borderId="0" xfId="0" applyFont="1" applyFill="1" applyBorder="1" applyAlignment="1">
      <alignment horizontal="right" vertical="center"/>
    </xf>
    <xf numFmtId="1" fontId="33" fillId="0" borderId="1" xfId="0" applyNumberFormat="1" applyFont="1" applyFill="1" applyBorder="1" applyAlignment="1" applyProtection="1">
      <alignment horizontal="left" vertical="center"/>
    </xf>
    <xf numFmtId="9" fontId="0" fillId="0" borderId="7" xfId="0" applyNumberFormat="1" applyFill="1" applyBorder="1" applyAlignment="1" applyProtection="1">
      <alignment horizontal="center"/>
    </xf>
    <xf numFmtId="164" fontId="0" fillId="5" borderId="0" xfId="0" applyNumberFormat="1" applyFill="1" applyBorder="1" applyAlignment="1" applyProtection="1">
      <alignment horizontal="center"/>
    </xf>
    <xf numFmtId="0" fontId="0" fillId="5" borderId="0" xfId="0" applyFill="1" applyBorder="1" applyAlignment="1" applyProtection="1">
      <alignment horizontal="left" vertical="center"/>
      <protection locked="0"/>
    </xf>
    <xf numFmtId="165" fontId="0" fillId="5" borderId="0" xfId="0" applyNumberFormat="1" applyFill="1" applyBorder="1" applyAlignment="1" applyProtection="1">
      <alignment horizontal="left" vertical="center"/>
      <protection locked="0"/>
    </xf>
    <xf numFmtId="2" fontId="0" fillId="5" borderId="0" xfId="0" applyNumberFormat="1" applyFill="1" applyBorder="1" applyAlignment="1" applyProtection="1">
      <alignment horizontal="left" vertical="center"/>
      <protection locked="0"/>
    </xf>
    <xf numFmtId="0" fontId="35" fillId="4" borderId="25" xfId="0" applyFont="1" applyFill="1" applyBorder="1" applyAlignment="1">
      <alignment horizontal="center" vertical="center"/>
    </xf>
    <xf numFmtId="0" fontId="1" fillId="0" borderId="7" xfId="0" applyFont="1" applyFill="1" applyBorder="1" applyAlignment="1" applyProtection="1">
      <alignment horizontal="left" vertical="center"/>
    </xf>
    <xf numFmtId="0" fontId="32" fillId="0" borderId="0" xfId="0" applyFont="1" applyBorder="1" applyAlignment="1">
      <alignment horizontal="center"/>
    </xf>
    <xf numFmtId="0" fontId="0" fillId="0" borderId="7" xfId="0" applyFill="1" applyBorder="1" applyAlignment="1" applyProtection="1">
      <alignment horizontal="left" vertical="center"/>
      <protection locked="0"/>
    </xf>
    <xf numFmtId="0" fontId="0" fillId="0" borderId="1" xfId="0" applyFill="1" applyBorder="1" applyAlignment="1" applyProtection="1">
      <alignment horizontal="left" vertical="center"/>
      <protection locked="0"/>
    </xf>
    <xf numFmtId="0" fontId="0" fillId="5" borderId="10" xfId="0" applyFont="1" applyFill="1" applyBorder="1" applyAlignment="1" applyProtection="1">
      <alignment horizontal="left" vertical="center"/>
    </xf>
    <xf numFmtId="165" fontId="0" fillId="0" borderId="7" xfId="0" applyNumberFormat="1" applyFill="1" applyBorder="1" applyAlignment="1" applyProtection="1">
      <alignment horizontal="left" vertical="center"/>
      <protection locked="0"/>
    </xf>
    <xf numFmtId="165" fontId="0" fillId="0" borderId="1" xfId="0" applyNumberFormat="1" applyFill="1" applyBorder="1" applyAlignment="1" applyProtection="1">
      <alignment horizontal="left" vertical="center"/>
      <protection locked="0"/>
    </xf>
    <xf numFmtId="2" fontId="0" fillId="0" borderId="1" xfId="0" applyNumberFormat="1" applyFill="1" applyBorder="1" applyAlignment="1" applyProtection="1">
      <alignment horizontal="left" vertical="center"/>
      <protection locked="0"/>
    </xf>
    <xf numFmtId="0" fontId="0" fillId="6" borderId="80" xfId="0" applyFont="1" applyFill="1" applyBorder="1" applyAlignment="1">
      <alignment horizontal="left" vertical="top" wrapText="1"/>
    </xf>
    <xf numFmtId="0" fontId="0" fillId="6" borderId="7" xfId="0" applyFont="1" applyFill="1" applyBorder="1" applyAlignment="1">
      <alignment horizontal="left" vertical="top" wrapText="1"/>
    </xf>
    <xf numFmtId="0" fontId="0" fillId="6" borderId="81" xfId="0" applyFont="1" applyFill="1" applyBorder="1" applyAlignment="1">
      <alignment horizontal="left" vertical="top" wrapText="1"/>
    </xf>
    <xf numFmtId="0" fontId="1" fillId="6" borderId="78" xfId="0" applyFont="1" applyFill="1" applyBorder="1" applyAlignment="1">
      <alignment horizontal="left" vertical="center"/>
    </xf>
    <xf numFmtId="0" fontId="1" fillId="6" borderId="10" xfId="0" applyFont="1" applyFill="1" applyBorder="1" applyAlignment="1">
      <alignment horizontal="left" vertical="center"/>
    </xf>
    <xf numFmtId="0" fontId="1" fillId="6" borderId="79" xfId="0" applyFont="1" applyFill="1" applyBorder="1" applyAlignment="1">
      <alignment horizontal="left" vertical="center"/>
    </xf>
    <xf numFmtId="0" fontId="32" fillId="0" borderId="75" xfId="0" applyFont="1" applyBorder="1" applyAlignment="1">
      <alignment horizontal="center"/>
    </xf>
    <xf numFmtId="0" fontId="32" fillId="0" borderId="76" xfId="0" applyFont="1" applyBorder="1" applyAlignment="1">
      <alignment horizontal="center"/>
    </xf>
    <xf numFmtId="0" fontId="32" fillId="0" borderId="77" xfId="0" applyFont="1" applyBorder="1" applyAlignment="1">
      <alignment horizontal="center"/>
    </xf>
    <xf numFmtId="0" fontId="0" fillId="5" borderId="10" xfId="0" applyFill="1" applyBorder="1" applyAlignment="1">
      <alignment horizontal="left" vertical="center"/>
    </xf>
  </cellXfs>
  <cellStyles count="2">
    <cellStyle name="Accent5" xfId="1" builtinId="45"/>
    <cellStyle name="Normal" xfId="0" builtinId="0"/>
  </cellStyles>
  <dxfs count="81">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none">
          <bgColor auto="1"/>
        </patternFill>
      </fill>
    </dxf>
    <dxf>
      <fill>
        <patternFill patternType="none">
          <bgColor auto="1"/>
        </patternFill>
      </fill>
    </dxf>
  </dxfs>
  <tableStyles count="1" defaultTableStyle="TableStyleMedium2" defaultPivotStyle="PivotStyleLight16">
    <tableStyle name="Table Style 1" pivot="0" count="2">
      <tableStyleElement type="firstRowStripe" dxfId="80"/>
      <tableStyleElement type="firstColumnStripe" dxfId="79"/>
    </tableStyle>
  </tableStyles>
  <colors>
    <mruColors>
      <color rgb="FFFFC9C9"/>
      <color rgb="FFFFDDD9"/>
      <color rgb="FFFFC9C5"/>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9649841297388255E-2"/>
          <c:y val="0.13185936373931845"/>
          <c:w val="0.88780638462900419"/>
          <c:h val="0.67447471762903599"/>
        </c:manualLayout>
      </c:layout>
      <c:lineChart>
        <c:grouping val="standard"/>
        <c:varyColors val="0"/>
        <c:ser>
          <c:idx val="0"/>
          <c:order val="0"/>
          <c:tx>
            <c:strRef>
              <c:f>ProjectSummary!$B$17</c:f>
              <c:strCache>
                <c:ptCount val="1"/>
                <c:pt idx="0">
                  <c:v>Test Cases Defined</c:v>
                </c:pt>
              </c:strCache>
            </c:strRef>
          </c:tx>
          <c:spPr>
            <a:ln w="28575" cap="rnd">
              <a:solidFill>
                <a:srgbClr val="0070C0"/>
              </a:solidFill>
              <a:round/>
            </a:ln>
            <a:effectLst/>
          </c:spPr>
          <c:marker>
            <c:symbol val="none"/>
          </c:marker>
          <c:cat>
            <c:numRef>
              <c:f>[0]!DateRange</c:f>
              <c:numCache>
                <c:formatCode>mm/dd/yy\ "@"\ hh:mm:ss</c:formatCode>
                <c:ptCount val="1"/>
                <c:pt idx="0">
                  <c:v>42648.691388888888</c:v>
                </c:pt>
              </c:numCache>
            </c:numRef>
          </c:cat>
          <c:val>
            <c:numRef>
              <c:f>[0]!Defined</c:f>
              <c:numCache>
                <c:formatCode>0</c:formatCode>
                <c:ptCount val="2"/>
                <c:pt idx="0">
                  <c:v>0</c:v>
                </c:pt>
              </c:numCache>
            </c:numRef>
          </c:val>
          <c:smooth val="0"/>
          <c:extLst/>
        </c:ser>
        <c:ser>
          <c:idx val="4"/>
          <c:order val="1"/>
          <c:tx>
            <c:strRef>
              <c:f>ProjectSummary!$B$18</c:f>
              <c:strCache>
                <c:ptCount val="1"/>
                <c:pt idx="0">
                  <c:v>   Attempted</c:v>
                </c:pt>
              </c:strCache>
            </c:strRef>
          </c:tx>
          <c:spPr>
            <a:ln w="28575" cap="rnd">
              <a:solidFill>
                <a:schemeClr val="bg1">
                  <a:lumMod val="65000"/>
                </a:schemeClr>
              </a:solidFill>
              <a:round/>
            </a:ln>
            <a:effectLst/>
          </c:spPr>
          <c:marker>
            <c:symbol val="none"/>
          </c:marker>
          <c:cat>
            <c:numRef>
              <c:f>[0]!DateRange</c:f>
              <c:numCache>
                <c:formatCode>mm/dd/yy\ "@"\ hh:mm:ss</c:formatCode>
                <c:ptCount val="1"/>
                <c:pt idx="0">
                  <c:v>42648.691388888888</c:v>
                </c:pt>
              </c:numCache>
            </c:numRef>
          </c:cat>
          <c:val>
            <c:numRef>
              <c:f>[0]!Attempted</c:f>
              <c:numCache>
                <c:formatCode>0</c:formatCode>
                <c:ptCount val="2"/>
                <c:pt idx="0">
                  <c:v>-1</c:v>
                </c:pt>
              </c:numCache>
            </c:numRef>
          </c:val>
          <c:smooth val="0"/>
          <c:extLst/>
        </c:ser>
        <c:ser>
          <c:idx val="1"/>
          <c:order val="2"/>
          <c:tx>
            <c:strRef>
              <c:f>ProjectSummary!$B$20</c:f>
              <c:strCache>
                <c:ptCount val="1"/>
                <c:pt idx="0">
                  <c:v>   Passed</c:v>
                </c:pt>
              </c:strCache>
            </c:strRef>
          </c:tx>
          <c:spPr>
            <a:ln w="28575" cap="rnd">
              <a:solidFill>
                <a:srgbClr val="00B050"/>
              </a:solidFill>
              <a:round/>
            </a:ln>
            <a:effectLst/>
          </c:spPr>
          <c:marker>
            <c:symbol val="none"/>
          </c:marker>
          <c:cat>
            <c:numRef>
              <c:f>[0]!DateRange</c:f>
              <c:numCache>
                <c:formatCode>mm/dd/yy\ "@"\ hh:mm:ss</c:formatCode>
                <c:ptCount val="1"/>
                <c:pt idx="0">
                  <c:v>42648.691388888888</c:v>
                </c:pt>
              </c:numCache>
            </c:numRef>
          </c:cat>
          <c:val>
            <c:numRef>
              <c:f>[0]!Passed</c:f>
              <c:numCache>
                <c:formatCode>0</c:formatCode>
                <c:ptCount val="2"/>
                <c:pt idx="0">
                  <c:v>0</c:v>
                </c:pt>
              </c:numCache>
            </c:numRef>
          </c:val>
          <c:smooth val="0"/>
          <c:extLst/>
        </c:ser>
        <c:ser>
          <c:idx val="2"/>
          <c:order val="3"/>
          <c:tx>
            <c:strRef>
              <c:f>ProjectSummary!$B$21</c:f>
              <c:strCache>
                <c:ptCount val="1"/>
                <c:pt idx="0">
                  <c:v>   Failed</c:v>
                </c:pt>
              </c:strCache>
            </c:strRef>
          </c:tx>
          <c:spPr>
            <a:ln w="28575" cap="rnd">
              <a:solidFill>
                <a:srgbClr val="FF0000"/>
              </a:solidFill>
              <a:round/>
            </a:ln>
            <a:effectLst/>
          </c:spPr>
          <c:marker>
            <c:symbol val="none"/>
          </c:marker>
          <c:cat>
            <c:numRef>
              <c:f>[0]!DateRange</c:f>
              <c:numCache>
                <c:formatCode>mm/dd/yy\ "@"\ hh:mm:ss</c:formatCode>
                <c:ptCount val="1"/>
                <c:pt idx="0">
                  <c:v>42648.691388888888</c:v>
                </c:pt>
              </c:numCache>
            </c:numRef>
          </c:cat>
          <c:val>
            <c:numRef>
              <c:f>[0]!Failed</c:f>
              <c:numCache>
                <c:formatCode>0</c:formatCode>
                <c:ptCount val="2"/>
                <c:pt idx="0">
                  <c:v>0</c:v>
                </c:pt>
              </c:numCache>
            </c:numRef>
          </c:val>
          <c:smooth val="0"/>
          <c:extLst/>
        </c:ser>
        <c:ser>
          <c:idx val="3"/>
          <c:order val="4"/>
          <c:tx>
            <c:strRef>
              <c:f>ProjectSummary!$B$24</c:f>
              <c:strCache>
                <c:ptCount val="1"/>
                <c:pt idx="0">
                  <c:v>   Waiting</c:v>
                </c:pt>
              </c:strCache>
            </c:strRef>
          </c:tx>
          <c:spPr>
            <a:ln w="28575" cap="rnd">
              <a:solidFill>
                <a:schemeClr val="accent4"/>
              </a:solidFill>
              <a:round/>
            </a:ln>
            <a:effectLst/>
          </c:spPr>
          <c:marker>
            <c:symbol val="none"/>
          </c:marker>
          <c:cat>
            <c:numRef>
              <c:f>[0]!DateRange</c:f>
              <c:numCache>
                <c:formatCode>mm/dd/yy\ "@"\ hh:mm:ss</c:formatCode>
                <c:ptCount val="1"/>
                <c:pt idx="0">
                  <c:v>42648.691388888888</c:v>
                </c:pt>
              </c:numCache>
            </c:numRef>
          </c:cat>
          <c:val>
            <c:numRef>
              <c:f>[0]!Waiting</c:f>
              <c:numCache>
                <c:formatCode>0</c:formatCode>
                <c:ptCount val="2"/>
                <c:pt idx="0">
                  <c:v>0</c:v>
                </c:pt>
              </c:numCache>
            </c:numRef>
          </c:val>
          <c:smooth val="0"/>
          <c:extLst/>
        </c:ser>
        <c:ser>
          <c:idx val="5"/>
          <c:order val="5"/>
          <c:tx>
            <c:strRef>
              <c:f>ProjectSummary!$B$28</c:f>
              <c:strCache>
                <c:ptCount val="1"/>
                <c:pt idx="0">
                  <c:v>   Other</c:v>
                </c:pt>
              </c:strCache>
            </c:strRef>
          </c:tx>
          <c:spPr>
            <a:ln w="28575" cap="rnd">
              <a:solidFill>
                <a:srgbClr val="7030A0"/>
              </a:solidFill>
              <a:round/>
            </a:ln>
            <a:effectLst/>
          </c:spPr>
          <c:marker>
            <c:symbol val="none"/>
          </c:marker>
          <c:val>
            <c:numRef>
              <c:f>[0]!Other</c:f>
              <c:numCache>
                <c:formatCode>0</c:formatCode>
                <c:ptCount val="2"/>
                <c:pt idx="0">
                  <c:v>0</c:v>
                </c:pt>
              </c:numCache>
            </c:numRef>
          </c:val>
          <c:smooth val="0"/>
        </c:ser>
        <c:dLbls>
          <c:showLegendKey val="0"/>
          <c:showVal val="0"/>
          <c:showCatName val="0"/>
          <c:showSerName val="0"/>
          <c:showPercent val="0"/>
          <c:showBubbleSize val="0"/>
        </c:dLbls>
        <c:smooth val="0"/>
        <c:axId val="776805184"/>
        <c:axId val="776805744"/>
      </c:lineChart>
      <c:dateAx>
        <c:axId val="776805184"/>
        <c:scaling>
          <c:orientation val="minMax"/>
        </c:scaling>
        <c:delete val="0"/>
        <c:axPos val="b"/>
        <c:title>
          <c:tx>
            <c:rich>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r>
                  <a:rPr lang="en-US" sz="1200" b="1" i="1" baseline="0">
                    <a:solidFill>
                      <a:schemeClr val="accent1">
                        <a:lumMod val="50000"/>
                      </a:schemeClr>
                    </a:solidFill>
                  </a:rPr>
                  <a:t>Date</a:t>
                </a:r>
              </a:p>
            </c:rich>
          </c:tx>
          <c:layout>
            <c:manualLayout>
              <c:xMode val="edge"/>
              <c:yMode val="edge"/>
              <c:x val="0.47830802091120361"/>
              <c:y val="0.93707540413127743"/>
            </c:manualLayout>
          </c:layout>
          <c:overlay val="0"/>
          <c:spPr>
            <a:noFill/>
            <a:ln>
              <a:noFill/>
            </a:ln>
            <a:effectLst/>
          </c:spPr>
          <c:txPr>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endParaRPr lang="en-US"/>
            </a:p>
          </c:txPr>
        </c:title>
        <c:numFmt formatCode="[$-409]dd\-mmm\-yy;@" sourceLinked="0"/>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6805744"/>
        <c:crosses val="autoZero"/>
        <c:auto val="1"/>
        <c:lblOffset val="100"/>
        <c:baseTimeUnit val="days"/>
      </c:dateAx>
      <c:valAx>
        <c:axId val="7768057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r>
                  <a:rPr lang="en-US" sz="1200" b="1" i="1" baseline="0">
                    <a:solidFill>
                      <a:schemeClr val="accent1">
                        <a:lumMod val="50000"/>
                      </a:schemeClr>
                    </a:solidFill>
                  </a:rPr>
                  <a:t>Number of Test Cases</a:t>
                </a:r>
              </a:p>
            </c:rich>
          </c:tx>
          <c:layout>
            <c:manualLayout>
              <c:xMode val="edge"/>
              <c:yMode val="edge"/>
              <c:x val="4.6109501716035907E-3"/>
              <c:y val="0.41390849717725797"/>
            </c:manualLayout>
          </c:layout>
          <c:overlay val="0"/>
          <c:spPr>
            <a:noFill/>
            <a:ln>
              <a:noFill/>
            </a:ln>
            <a:effectLst/>
          </c:spPr>
          <c:txPr>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6805184"/>
        <c:crosses val="autoZero"/>
        <c:crossBetween val="midCat"/>
      </c:valAx>
      <c:spPr>
        <a:noFill/>
        <a:ln>
          <a:noFill/>
        </a:ln>
        <a:effectLst/>
      </c:spPr>
    </c:plotArea>
    <c:legend>
      <c:legendPos val="b"/>
      <c:layout>
        <c:manualLayout>
          <c:xMode val="edge"/>
          <c:yMode val="edge"/>
          <c:x val="0.13419486698376934"/>
          <c:y val="0.86928109218029059"/>
          <c:w val="0.69865443760385981"/>
          <c:h val="4.3062472070496481E-2"/>
        </c:manualLayout>
      </c:layout>
      <c:overlay val="0"/>
      <c:spPr>
        <a:noFill/>
        <a:ln>
          <a:noFill/>
        </a:ln>
        <a:effectLst/>
      </c:spPr>
      <c:txPr>
        <a:bodyPr rot="0" spcFirstLastPara="1" vertOverflow="ellipsis" vert="horz" wrap="square" anchor="ctr" anchorCtr="1"/>
        <a:lstStyle/>
        <a:p>
          <a:pPr>
            <a:defRPr sz="900" b="0" i="1" u="none" strike="noStrike" kern="1200" baseline="0">
              <a:solidFill>
                <a:schemeClr val="tx1">
                  <a:lumMod val="65000"/>
                  <a:lumOff val="35000"/>
                </a:schemeClr>
              </a:solidFill>
              <a:latin typeface="+mn-lt"/>
              <a:ea typeface="+mn-ea"/>
              <a:cs typeface="+mn-cs"/>
            </a:defRPr>
          </a:pPr>
          <a:endParaRPr lang="en-US"/>
        </a:p>
      </c:txPr>
    </c:legend>
    <c:plotVisOnly val="0"/>
    <c:dispBlanksAs val="span"/>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25" r="0.25" t="0.75" header="0.3" footer="0.3"/>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5</xdr:col>
      <xdr:colOff>442910</xdr:colOff>
      <xdr:row>2</xdr:row>
      <xdr:rowOff>147634</xdr:rowOff>
    </xdr:from>
    <xdr:to>
      <xdr:col>19</xdr:col>
      <xdr:colOff>171449</xdr:colOff>
      <xdr:row>27</xdr:row>
      <xdr:rowOff>171450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15</xdr:row>
          <xdr:rowOff>0</xdr:rowOff>
        </xdr:from>
        <xdr:to>
          <xdr:col>3</xdr:col>
          <xdr:colOff>809625</xdr:colOff>
          <xdr:row>15</xdr:row>
          <xdr:rowOff>314325</xdr:rowOff>
        </xdr:to>
        <xdr:sp macro="" textlink="">
          <xdr:nvSpPr>
            <xdr:cNvPr id="1037" name="Finalize" descr="Finalize Project"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590550</xdr:colOff>
          <xdr:row>2</xdr:row>
          <xdr:rowOff>0</xdr:rowOff>
        </xdr:from>
        <xdr:to>
          <xdr:col>4</xdr:col>
          <xdr:colOff>0</xdr:colOff>
          <xdr:row>4</xdr:row>
          <xdr:rowOff>38100</xdr:rowOff>
        </xdr:to>
        <xdr:sp macro="" textlink="">
          <xdr:nvSpPr>
            <xdr:cNvPr id="6152" name="StartStopTask" descr="Start/Stop Text" hidden="1">
              <a:extLst>
                <a:ext uri="{63B3BB69-23CF-44E3-9099-C40C66FF867C}">
                  <a14:compatExt spid="_x0000_s6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600075</xdr:colOff>
          <xdr:row>1</xdr:row>
          <xdr:rowOff>0</xdr:rowOff>
        </xdr:from>
        <xdr:to>
          <xdr:col>11</xdr:col>
          <xdr:colOff>9525</xdr:colOff>
          <xdr:row>2</xdr:row>
          <xdr:rowOff>9525</xdr:rowOff>
        </xdr:to>
        <xdr:sp macro="" textlink="">
          <xdr:nvSpPr>
            <xdr:cNvPr id="6153" name="ResetTimeTrackingSheet" hidden="1">
              <a:extLst>
                <a:ext uri="{63B3BB69-23CF-44E3-9099-C40C66FF867C}">
                  <a14:compatExt spid="_x0000_s6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augus\dscudiero\auburn-cim-implimentation-1234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Summary"/>
      <sheetName val="Testing Detail"/>
      <sheetName val="Time Tracking"/>
      <sheetName val="Lookup Values"/>
      <sheetName val="auburn-cim-implimentation-12345"/>
    </sheetNames>
    <sheetDataSet>
      <sheetData sheetId="0">
        <row r="13">
          <cell r="B13" t="str">
            <v>Test Cases Defined</v>
          </cell>
        </row>
      </sheetData>
      <sheetData sheetId="1"/>
      <sheetData sheetId="2">
        <row r="4">
          <cell r="E4" t="str">
            <v>Pass</v>
          </cell>
          <cell r="F4" t="str">
            <v>Fail</v>
          </cell>
          <cell r="G4" t="str">
            <v>Wait</v>
          </cell>
          <cell r="H4" t="str">
            <v>Attempted</v>
          </cell>
          <cell r="I4" t="str">
            <v>Goal</v>
          </cell>
        </row>
        <row r="5">
          <cell r="C5" t="str">
            <v>Task Stop/End Time</v>
          </cell>
          <cell r="D5" t="str">
            <v>Resource Expended (seconds)</v>
          </cell>
          <cell r="E5">
            <v>14</v>
          </cell>
          <cell r="F5">
            <v>6</v>
          </cell>
          <cell r="G5">
            <v>3</v>
          </cell>
          <cell r="H5">
            <v>23</v>
          </cell>
          <cell r="I5">
            <v>42</v>
          </cell>
        </row>
        <row r="6">
          <cell r="C6">
            <v>42584.702256944445</v>
          </cell>
          <cell r="D6">
            <v>2</v>
          </cell>
          <cell r="E6">
            <v>1</v>
          </cell>
          <cell r="F6">
            <v>6</v>
          </cell>
          <cell r="G6">
            <v>1</v>
          </cell>
          <cell r="H6">
            <v>8</v>
          </cell>
          <cell r="I6">
            <v>42</v>
          </cell>
        </row>
        <row r="7">
          <cell r="C7">
            <v>42585.394849537035</v>
          </cell>
          <cell r="D7">
            <v>1594</v>
          </cell>
          <cell r="E7">
            <v>1</v>
          </cell>
          <cell r="F7">
            <v>6</v>
          </cell>
          <cell r="G7">
            <v>1</v>
          </cell>
          <cell r="H7">
            <v>8</v>
          </cell>
          <cell r="I7">
            <v>42</v>
          </cell>
        </row>
      </sheetData>
      <sheetData sheetId="3"/>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inalize">
    <pageSetUpPr fitToPage="1"/>
  </sheetPr>
  <dimension ref="A1:U43"/>
  <sheetViews>
    <sheetView showGridLines="0" tabSelected="1" zoomScaleNormal="100" workbookViewId="0">
      <selection activeCell="E4" sqref="E4"/>
    </sheetView>
  </sheetViews>
  <sheetFormatPr defaultRowHeight="15" x14ac:dyDescent="0.25"/>
  <cols>
    <col min="1" max="1" width="5.140625" customWidth="1"/>
    <col min="2" max="2" width="23.7109375" style="40" bestFit="1" customWidth="1"/>
    <col min="3" max="4" width="12.28515625" style="1" customWidth="1"/>
    <col min="5" max="5" width="2.28515625" style="1" customWidth="1"/>
  </cols>
  <sheetData>
    <row r="1" spans="1:21" ht="39.950000000000003" customHeight="1" thickBot="1" x14ac:dyDescent="0.3">
      <c r="A1" s="226"/>
      <c r="B1" s="235" t="str">
        <f ca="1">MID(CELL("filename",A1),FIND("]",CELL("filename",A1))+1,255)</f>
        <v>ProjectSummary</v>
      </c>
      <c r="C1" s="229"/>
      <c r="D1" s="229" t="str">
        <f>CONCATENATE(UPPER(C4)," - ",C5," ",C6,"/",C7)</f>
        <v xml:space="preserve"> -  /</v>
      </c>
      <c r="E1" s="229"/>
      <c r="F1" s="229"/>
      <c r="G1" s="229"/>
      <c r="H1" s="229"/>
      <c r="I1" s="229"/>
      <c r="J1" s="229"/>
      <c r="K1" s="229"/>
      <c r="L1" s="229"/>
      <c r="M1" s="229"/>
      <c r="N1" s="229"/>
      <c r="O1" s="229"/>
      <c r="P1" s="229"/>
      <c r="Q1" s="229"/>
      <c r="R1" s="229"/>
      <c r="S1" s="229"/>
      <c r="T1" s="228"/>
      <c r="U1" s="276" t="s">
        <v>522</v>
      </c>
    </row>
    <row r="2" spans="1:21" ht="15.75" thickTop="1" x14ac:dyDescent="0.25">
      <c r="A2" s="165"/>
      <c r="B2" s="163" t="str">
        <f ca="1">MID(SUBSTITUTE(CELL("filename",A1),"[",""),1,FIND("]",CELL("filename",A1))-1)</f>
        <v>Y:\tools\workbooks\QATracking.xltm]</v>
      </c>
      <c r="C2" s="164"/>
      <c r="D2" s="164"/>
      <c r="E2" s="164"/>
      <c r="F2" s="165"/>
      <c r="G2" s="165"/>
      <c r="H2" s="165"/>
      <c r="I2" s="165"/>
      <c r="J2" s="165"/>
      <c r="K2" s="165"/>
      <c r="L2" s="165"/>
      <c r="M2" s="166"/>
      <c r="N2" s="165"/>
      <c r="O2" s="165"/>
      <c r="P2" s="165"/>
      <c r="Q2" s="165"/>
      <c r="R2" s="165"/>
      <c r="S2" s="165"/>
      <c r="T2" s="165"/>
      <c r="U2" s="165"/>
    </row>
    <row r="3" spans="1:21" x14ac:dyDescent="0.25">
      <c r="A3" s="165"/>
      <c r="B3" s="281"/>
      <c r="C3" s="281"/>
      <c r="D3" s="281"/>
      <c r="E3" s="259"/>
      <c r="F3" s="165"/>
      <c r="G3" s="165"/>
      <c r="H3" s="165"/>
      <c r="I3" s="165"/>
      <c r="J3" s="165"/>
      <c r="K3" s="165"/>
      <c r="L3" s="165"/>
      <c r="M3" s="165"/>
      <c r="N3" s="165"/>
      <c r="O3" s="165"/>
      <c r="P3" s="165"/>
      <c r="Q3" s="165"/>
      <c r="R3" s="165"/>
      <c r="S3" s="165"/>
      <c r="T3" s="165"/>
      <c r="U3" s="165"/>
    </row>
    <row r="4" spans="1:21" x14ac:dyDescent="0.25">
      <c r="A4" s="165"/>
      <c r="B4" s="168" t="s">
        <v>195</v>
      </c>
      <c r="C4" s="279"/>
      <c r="D4" s="279"/>
      <c r="E4" s="273"/>
      <c r="F4" s="165"/>
      <c r="G4" s="165"/>
      <c r="H4" s="165"/>
      <c r="I4" s="165"/>
      <c r="J4" s="165"/>
      <c r="K4" s="165"/>
      <c r="L4" s="165"/>
      <c r="M4" s="165"/>
      <c r="N4" s="165"/>
      <c r="O4" s="165"/>
      <c r="P4" s="165"/>
      <c r="Q4" s="165"/>
      <c r="R4" s="165"/>
      <c r="S4" s="165"/>
      <c r="T4" s="165"/>
      <c r="U4" s="165"/>
    </row>
    <row r="5" spans="1:21" x14ac:dyDescent="0.25">
      <c r="A5" s="165"/>
      <c r="B5" s="169" t="s">
        <v>90</v>
      </c>
      <c r="C5" s="280"/>
      <c r="D5" s="280"/>
      <c r="E5" s="273"/>
      <c r="F5" s="165"/>
      <c r="G5" s="165"/>
      <c r="H5" s="165"/>
      <c r="I5" s="165"/>
      <c r="J5" s="165"/>
      <c r="K5" s="165"/>
      <c r="L5" s="165"/>
      <c r="M5" s="165"/>
      <c r="N5" s="165"/>
      <c r="O5" s="165"/>
      <c r="P5" s="165"/>
      <c r="Q5" s="165"/>
      <c r="R5" s="165"/>
      <c r="S5" s="165"/>
      <c r="T5" s="165"/>
      <c r="U5" s="165"/>
    </row>
    <row r="6" spans="1:21" x14ac:dyDescent="0.25">
      <c r="A6" s="165"/>
      <c r="B6" s="169" t="s">
        <v>188</v>
      </c>
      <c r="C6" s="279"/>
      <c r="D6" s="279"/>
      <c r="E6" s="273"/>
      <c r="F6" s="165"/>
      <c r="G6" s="165"/>
      <c r="H6" s="165"/>
      <c r="I6" s="165"/>
      <c r="J6" s="165"/>
      <c r="K6" s="165"/>
      <c r="L6" s="165"/>
      <c r="M6" s="165"/>
      <c r="N6" s="165"/>
      <c r="O6" s="165"/>
      <c r="P6" s="165"/>
      <c r="Q6" s="165"/>
      <c r="R6" s="165"/>
      <c r="S6" s="165"/>
      <c r="T6" s="165"/>
      <c r="U6" s="165"/>
    </row>
    <row r="7" spans="1:21" x14ac:dyDescent="0.25">
      <c r="A7" s="165"/>
      <c r="B7" s="169" t="s">
        <v>91</v>
      </c>
      <c r="C7" s="280"/>
      <c r="D7" s="280"/>
      <c r="E7" s="273"/>
      <c r="F7" s="165"/>
      <c r="G7" s="165"/>
      <c r="H7" s="165"/>
      <c r="I7" s="165"/>
      <c r="J7" s="165"/>
      <c r="K7" s="165"/>
      <c r="L7" s="165"/>
      <c r="M7" s="165"/>
      <c r="N7" s="165"/>
      <c r="O7" s="165"/>
      <c r="P7" s="165"/>
      <c r="Q7" s="165"/>
      <c r="R7" s="165"/>
      <c r="S7" s="165"/>
      <c r="T7" s="165"/>
      <c r="U7" s="165"/>
    </row>
    <row r="8" spans="1:21" x14ac:dyDescent="0.25">
      <c r="A8" s="165"/>
      <c r="B8" s="294"/>
      <c r="C8" s="294"/>
      <c r="D8" s="294"/>
      <c r="E8" s="260"/>
      <c r="F8" s="165"/>
      <c r="G8" s="165"/>
      <c r="H8" s="165"/>
      <c r="I8" s="165"/>
      <c r="J8" s="165"/>
      <c r="K8" s="165"/>
      <c r="L8" s="165"/>
      <c r="M8" s="165"/>
      <c r="N8" s="165"/>
      <c r="O8" s="165"/>
      <c r="P8" s="165"/>
      <c r="Q8" s="165"/>
      <c r="R8" s="165"/>
      <c r="S8" s="165"/>
      <c r="T8" s="165"/>
      <c r="U8" s="165"/>
    </row>
    <row r="9" spans="1:21" x14ac:dyDescent="0.25">
      <c r="A9" s="165"/>
      <c r="B9" s="170" t="s">
        <v>514</v>
      </c>
      <c r="C9" s="279"/>
      <c r="D9" s="279"/>
      <c r="E9" s="273"/>
      <c r="F9" s="165"/>
      <c r="G9" s="165"/>
      <c r="H9" s="165"/>
      <c r="I9" s="165"/>
      <c r="J9" s="165"/>
      <c r="K9" s="165"/>
      <c r="L9" s="165"/>
      <c r="M9" s="165"/>
      <c r="N9" s="165"/>
      <c r="O9" s="165"/>
      <c r="P9" s="165"/>
      <c r="Q9" s="165"/>
      <c r="R9" s="165"/>
      <c r="S9" s="165"/>
      <c r="T9" s="165"/>
      <c r="U9" s="165"/>
    </row>
    <row r="10" spans="1:21" x14ac:dyDescent="0.25">
      <c r="A10" s="165"/>
      <c r="B10" s="170" t="s">
        <v>72</v>
      </c>
      <c r="C10" s="280"/>
      <c r="D10" s="280"/>
      <c r="E10" s="273"/>
      <c r="F10" s="165"/>
      <c r="G10" s="165"/>
      <c r="H10" s="165"/>
      <c r="I10" s="165"/>
      <c r="J10" s="165"/>
      <c r="K10" s="165"/>
      <c r="L10" s="165"/>
      <c r="M10" s="165"/>
      <c r="N10" s="165"/>
      <c r="O10" s="165"/>
      <c r="P10" s="165"/>
      <c r="Q10" s="165"/>
      <c r="R10" s="165"/>
      <c r="S10" s="165"/>
      <c r="T10" s="165"/>
      <c r="U10" s="165"/>
    </row>
    <row r="11" spans="1:21" x14ac:dyDescent="0.25">
      <c r="A11" s="165"/>
      <c r="B11" s="171" t="s">
        <v>196</v>
      </c>
      <c r="C11" s="280"/>
      <c r="D11" s="280"/>
      <c r="E11" s="273"/>
      <c r="F11" s="167"/>
      <c r="G11" s="165"/>
      <c r="H11" s="165"/>
      <c r="I11" s="165"/>
      <c r="J11" s="165"/>
      <c r="K11" s="165"/>
      <c r="L11" s="165"/>
      <c r="M11" s="165"/>
      <c r="N11" s="165"/>
      <c r="O11" s="165"/>
      <c r="P11" s="165"/>
      <c r="Q11" s="165"/>
      <c r="R11" s="165"/>
      <c r="S11" s="165"/>
      <c r="T11" s="165"/>
      <c r="U11" s="165"/>
    </row>
    <row r="12" spans="1:21" x14ac:dyDescent="0.25">
      <c r="A12" s="165"/>
      <c r="B12" s="281"/>
      <c r="C12" s="281"/>
      <c r="D12" s="281"/>
      <c r="E12" s="259"/>
      <c r="F12" s="167"/>
      <c r="G12" s="165"/>
      <c r="H12" s="165"/>
      <c r="I12" s="165"/>
      <c r="J12" s="165"/>
      <c r="K12" s="165"/>
      <c r="L12" s="165"/>
      <c r="M12" s="165"/>
      <c r="N12" s="165"/>
      <c r="O12" s="165"/>
      <c r="P12" s="165"/>
      <c r="Q12" s="165"/>
      <c r="R12" s="165"/>
      <c r="S12" s="165"/>
      <c r="T12" s="165"/>
      <c r="U12" s="165"/>
    </row>
    <row r="13" spans="1:21" x14ac:dyDescent="0.25">
      <c r="A13" s="165"/>
      <c r="B13" s="170" t="s">
        <v>56</v>
      </c>
      <c r="C13" s="282"/>
      <c r="D13" s="282"/>
      <c r="E13" s="274"/>
      <c r="F13" s="167"/>
      <c r="G13" s="165"/>
      <c r="H13" s="165"/>
      <c r="I13" s="165"/>
      <c r="J13" s="165"/>
      <c r="K13" s="165"/>
      <c r="L13" s="165"/>
      <c r="M13" s="165"/>
      <c r="N13" s="165"/>
      <c r="O13" s="165"/>
      <c r="P13" s="165"/>
      <c r="Q13" s="165"/>
      <c r="R13" s="165"/>
      <c r="S13" s="165"/>
      <c r="T13" s="165"/>
      <c r="U13" s="165"/>
    </row>
    <row r="14" spans="1:21" x14ac:dyDescent="0.25">
      <c r="A14" s="165"/>
      <c r="B14" s="170" t="s">
        <v>88</v>
      </c>
      <c r="C14" s="284"/>
      <c r="D14" s="284"/>
      <c r="E14" s="275"/>
      <c r="F14" s="167"/>
      <c r="G14" s="165"/>
      <c r="H14" s="165"/>
      <c r="I14" s="165"/>
      <c r="J14" s="165"/>
      <c r="K14" s="165"/>
      <c r="L14" s="165"/>
      <c r="M14" s="165"/>
      <c r="N14" s="165"/>
      <c r="O14" s="165"/>
      <c r="P14" s="165"/>
      <c r="Q14" s="165"/>
      <c r="R14" s="165"/>
      <c r="S14" s="165"/>
      <c r="T14" s="165"/>
      <c r="U14" s="165"/>
    </row>
    <row r="15" spans="1:21" x14ac:dyDescent="0.25">
      <c r="A15" s="165"/>
      <c r="B15" s="171" t="s">
        <v>57</v>
      </c>
      <c r="C15" s="283"/>
      <c r="D15" s="283"/>
      <c r="E15" s="274"/>
      <c r="F15" s="167"/>
      <c r="G15" s="165"/>
      <c r="H15" s="165"/>
      <c r="I15" s="165"/>
      <c r="J15" s="165"/>
      <c r="K15" s="165"/>
      <c r="L15" s="165"/>
      <c r="M15" s="165"/>
      <c r="N15" s="165"/>
      <c r="O15" s="165"/>
      <c r="P15" s="165"/>
      <c r="Q15" s="165"/>
      <c r="R15" s="165"/>
      <c r="S15" s="165"/>
      <c r="T15" s="165"/>
      <c r="U15" s="165"/>
    </row>
    <row r="16" spans="1:21" ht="27.75" customHeight="1" x14ac:dyDescent="0.25">
      <c r="A16" s="165"/>
      <c r="B16" s="281"/>
      <c r="C16" s="281"/>
      <c r="D16" s="281"/>
      <c r="E16" s="259"/>
      <c r="F16" s="167"/>
      <c r="G16" s="165"/>
      <c r="H16" s="165"/>
      <c r="I16" s="165"/>
      <c r="J16" s="165"/>
      <c r="K16" s="165"/>
      <c r="L16" s="165"/>
      <c r="M16" s="165"/>
      <c r="N16" s="165"/>
      <c r="O16" s="165"/>
      <c r="P16" s="165"/>
      <c r="Q16" s="165"/>
      <c r="R16" s="165"/>
      <c r="S16" s="165"/>
      <c r="T16" s="165"/>
      <c r="U16" s="165"/>
    </row>
    <row r="17" spans="1:21" x14ac:dyDescent="0.25">
      <c r="A17" s="165"/>
      <c r="B17" s="277" t="s">
        <v>84</v>
      </c>
      <c r="C17" s="172">
        <f ca="1">COUNT(INDIRECT("TestingDetail!A:A"))</f>
        <v>0</v>
      </c>
      <c r="D17" s="173"/>
      <c r="E17" s="173"/>
      <c r="F17" s="167"/>
      <c r="G17" s="165"/>
      <c r="H17" s="165"/>
      <c r="I17" s="165"/>
      <c r="J17" s="165"/>
      <c r="K17" s="165"/>
      <c r="L17" s="165"/>
      <c r="M17" s="165"/>
      <c r="N17" s="165"/>
      <c r="O17" s="165"/>
      <c r="P17" s="165"/>
      <c r="Q17" s="165"/>
      <c r="R17" s="165"/>
      <c r="S17" s="165"/>
      <c r="T17" s="165"/>
      <c r="U17" s="165"/>
    </row>
    <row r="18" spans="1:21" ht="17.25" x14ac:dyDescent="0.25">
      <c r="A18" s="165"/>
      <c r="B18" s="171" t="s">
        <v>120</v>
      </c>
      <c r="C18" s="174" t="e">
        <f ca="1">SUM(COUNTIFS(INDIRECT("TestingDetail!D:D"),{"PASSED*","FAILED*","WAITING*"}))</f>
        <v>#REF!</v>
      </c>
      <c r="D18" s="175" t="e">
        <f ca="1">C18/C17</f>
        <v>#REF!</v>
      </c>
      <c r="E18" s="270">
        <v>1</v>
      </c>
      <c r="F18" s="167"/>
      <c r="G18" s="165"/>
      <c r="H18" s="165"/>
      <c r="I18" s="165"/>
      <c r="J18" s="165"/>
      <c r="K18" s="165"/>
      <c r="L18" s="165"/>
      <c r="M18" s="165"/>
      <c r="N18" s="165"/>
      <c r="O18" s="165"/>
      <c r="P18" s="165"/>
      <c r="Q18" s="165"/>
      <c r="R18" s="165"/>
      <c r="S18" s="165"/>
      <c r="T18" s="165"/>
      <c r="U18" s="165"/>
    </row>
    <row r="19" spans="1:21" ht="17.25" x14ac:dyDescent="0.25">
      <c r="A19" s="165"/>
      <c r="B19" s="171" t="s">
        <v>121</v>
      </c>
      <c r="C19" s="174" t="e">
        <f ca="1">C17-C18</f>
        <v>#REF!</v>
      </c>
      <c r="D19" s="175" t="e">
        <f ca="1">C19/C17</f>
        <v>#REF!</v>
      </c>
      <c r="E19" s="270">
        <v>2</v>
      </c>
      <c r="F19" s="167"/>
      <c r="G19" s="165"/>
      <c r="H19" s="165"/>
      <c r="I19" s="165"/>
      <c r="J19" s="165"/>
      <c r="K19" s="165"/>
      <c r="L19" s="165"/>
      <c r="M19" s="165"/>
      <c r="N19" s="165"/>
      <c r="O19" s="165"/>
      <c r="P19" s="165"/>
      <c r="Q19" s="165"/>
      <c r="R19" s="165"/>
      <c r="S19" s="165"/>
      <c r="T19" s="165"/>
      <c r="U19" s="165"/>
    </row>
    <row r="20" spans="1:21" ht="17.25" x14ac:dyDescent="0.25">
      <c r="A20" s="165"/>
      <c r="B20" s="171" t="s">
        <v>122</v>
      </c>
      <c r="C20" s="174" t="e">
        <f ca="1">COUNTIF(INDIRECT("TestingDetail!D:D"),"PASSED*")</f>
        <v>#REF!</v>
      </c>
      <c r="D20" s="175" t="e">
        <f ca="1">IF(C18&lt;&gt;0,C20/C18,0)</f>
        <v>#REF!</v>
      </c>
      <c r="E20" s="261">
        <v>2</v>
      </c>
      <c r="F20" s="165"/>
      <c r="G20" s="165"/>
      <c r="H20" s="165"/>
      <c r="I20" s="165"/>
      <c r="J20" s="165"/>
      <c r="K20" s="165"/>
      <c r="L20" s="165"/>
      <c r="M20" s="165"/>
      <c r="N20" s="165"/>
      <c r="O20" s="165"/>
      <c r="P20" s="165"/>
      <c r="Q20" s="165"/>
      <c r="R20" s="165"/>
      <c r="S20" s="165"/>
      <c r="T20" s="165"/>
      <c r="U20" s="165"/>
    </row>
    <row r="21" spans="1:21" ht="17.25" x14ac:dyDescent="0.25">
      <c r="A21" s="165"/>
      <c r="B21" s="171" t="s">
        <v>123</v>
      </c>
      <c r="C21" s="174" t="e">
        <f ca="1">COUNTIF(INDIRECT("TestingDetail!D:D"),"FAILED*")</f>
        <v>#REF!</v>
      </c>
      <c r="D21" s="175" t="e">
        <f ca="1">IF(C18&lt;&gt;0,C21/C18,0)</f>
        <v>#REF!</v>
      </c>
      <c r="E21" s="261">
        <v>2</v>
      </c>
      <c r="F21" s="165"/>
      <c r="G21" s="165"/>
      <c r="H21" s="165"/>
      <c r="I21" s="165"/>
      <c r="J21" s="165"/>
      <c r="K21" s="165"/>
      <c r="L21" s="165"/>
      <c r="M21" s="165"/>
      <c r="N21" s="165"/>
      <c r="O21" s="165"/>
      <c r="P21" s="165"/>
      <c r="Q21" s="165"/>
      <c r="R21" s="165"/>
      <c r="S21" s="165"/>
      <c r="T21" s="165"/>
      <c r="U21" s="165"/>
    </row>
    <row r="22" spans="1:21" ht="17.25" x14ac:dyDescent="0.25">
      <c r="A22" s="165"/>
      <c r="B22" s="176" t="s">
        <v>85</v>
      </c>
      <c r="C22" s="174" t="e">
        <f ca="1">COUNTIF(INDIRECT("TestingDetail!D:D"),"FAILED - CSM")</f>
        <v>#REF!</v>
      </c>
      <c r="D22" s="263"/>
      <c r="E22" s="262"/>
      <c r="F22" s="165"/>
      <c r="G22" s="165"/>
      <c r="H22" s="165"/>
      <c r="I22" s="165"/>
      <c r="J22" s="165"/>
      <c r="K22" s="165"/>
      <c r="L22" s="165"/>
      <c r="M22" s="165"/>
      <c r="N22" s="165"/>
      <c r="O22" s="165"/>
      <c r="P22" s="165"/>
      <c r="Q22" s="165"/>
      <c r="R22" s="165"/>
      <c r="S22" s="165"/>
      <c r="T22" s="165"/>
      <c r="U22" s="165"/>
    </row>
    <row r="23" spans="1:21" ht="17.25" x14ac:dyDescent="0.25">
      <c r="A23" s="165"/>
      <c r="B23" s="176" t="s">
        <v>64</v>
      </c>
      <c r="C23" s="174" t="e">
        <f ca="1">COUNTIF(INDIRECT("TestingDetail!D:D"),"FAILED - DEV")</f>
        <v>#REF!</v>
      </c>
      <c r="D23" s="271"/>
      <c r="E23" s="262"/>
      <c r="F23" s="165"/>
      <c r="G23" s="165"/>
      <c r="H23" s="165"/>
      <c r="I23" s="165"/>
      <c r="J23" s="165"/>
      <c r="K23" s="165"/>
      <c r="L23" s="165"/>
      <c r="M23" s="165"/>
      <c r="N23" s="165"/>
      <c r="O23" s="165"/>
      <c r="P23" s="165"/>
      <c r="Q23" s="165"/>
      <c r="R23" s="165"/>
      <c r="S23" s="165"/>
      <c r="T23" s="165"/>
      <c r="U23" s="165"/>
    </row>
    <row r="24" spans="1:21" ht="17.25" x14ac:dyDescent="0.25">
      <c r="A24" s="165"/>
      <c r="B24" s="171" t="s">
        <v>124</v>
      </c>
      <c r="C24" s="174" t="e">
        <f ca="1">COUNTIF(INDIRECT("TestingDetail!D:D"),"WAITING*")</f>
        <v>#REF!</v>
      </c>
      <c r="D24" s="175" t="e">
        <f ca="1">IF(C18&lt;&gt;0,C24/C18,0)</f>
        <v>#REF!</v>
      </c>
      <c r="E24" s="270">
        <v>2</v>
      </c>
      <c r="F24" s="165"/>
      <c r="G24" s="165"/>
      <c r="H24" s="165"/>
      <c r="I24" s="165"/>
      <c r="J24" s="165"/>
      <c r="K24" s="165"/>
      <c r="L24" s="165"/>
      <c r="M24" s="165"/>
      <c r="N24" s="165"/>
      <c r="O24" s="165"/>
      <c r="P24" s="165"/>
      <c r="Q24" s="165"/>
      <c r="R24" s="165"/>
      <c r="S24" s="165"/>
      <c r="T24" s="165"/>
      <c r="U24" s="165"/>
    </row>
    <row r="25" spans="1:21" ht="17.25" x14ac:dyDescent="0.25">
      <c r="A25" s="165"/>
      <c r="B25" s="177" t="s">
        <v>85</v>
      </c>
      <c r="C25" s="174" t="e">
        <f ca="1">COUNTIF(INDIRECT("TestingDetail!D:D"),"WAITING - CSM")</f>
        <v>#REF!</v>
      </c>
      <c r="D25" s="263"/>
      <c r="E25" s="262"/>
      <c r="F25" s="165"/>
      <c r="G25" s="165"/>
      <c r="H25" s="165"/>
      <c r="I25" s="165"/>
      <c r="J25" s="165"/>
      <c r="K25" s="165"/>
      <c r="L25" s="165"/>
      <c r="M25" s="165"/>
      <c r="N25" s="165"/>
      <c r="O25" s="165"/>
      <c r="P25" s="165"/>
      <c r="Q25" s="165"/>
      <c r="R25" s="165"/>
      <c r="S25" s="165"/>
      <c r="T25" s="165"/>
      <c r="U25" s="165"/>
    </row>
    <row r="26" spans="1:21" ht="17.25" x14ac:dyDescent="0.25">
      <c r="A26" s="165"/>
      <c r="B26" s="177" t="s">
        <v>64</v>
      </c>
      <c r="C26" s="174" t="e">
        <f ca="1">COUNTIF(INDIRECT("TestingDetail!D:D"),"WAITING - DEV")</f>
        <v>#REF!</v>
      </c>
      <c r="D26" s="178"/>
      <c r="E26" s="262"/>
      <c r="F26" s="165"/>
      <c r="G26" s="165"/>
      <c r="H26" s="165"/>
      <c r="I26" s="165"/>
      <c r="J26" s="165"/>
      <c r="K26" s="165"/>
      <c r="L26" s="165"/>
      <c r="M26" s="165"/>
      <c r="N26" s="165"/>
      <c r="O26" s="165"/>
      <c r="P26" s="165"/>
      <c r="Q26" s="165"/>
      <c r="R26" s="165"/>
      <c r="S26" s="165"/>
      <c r="T26" s="165"/>
      <c r="U26" s="165"/>
    </row>
    <row r="27" spans="1:21" ht="17.25" x14ac:dyDescent="0.25">
      <c r="A27" s="165"/>
      <c r="B27" s="177" t="s">
        <v>520</v>
      </c>
      <c r="C27" s="174" t="e">
        <f ca="1">COUNTIF(INDIRECT("TestingDetail!D:D"),"BLOCKED")</f>
        <v>#REF!</v>
      </c>
      <c r="D27" s="175" t="e">
        <f ca="1">IF(C18&lt;&gt;0,C27/C18,0)</f>
        <v>#REF!</v>
      </c>
      <c r="E27" s="270">
        <v>2</v>
      </c>
      <c r="F27" s="165"/>
      <c r="G27" s="165"/>
      <c r="H27" s="165"/>
      <c r="I27" s="165"/>
      <c r="J27" s="165"/>
      <c r="K27" s="165"/>
      <c r="L27" s="165"/>
      <c r="M27" s="165"/>
      <c r="N27" s="165"/>
      <c r="O27" s="165"/>
      <c r="P27" s="165"/>
      <c r="Q27" s="165"/>
      <c r="R27" s="165"/>
      <c r="S27" s="165"/>
      <c r="T27" s="165"/>
      <c r="U27" s="165"/>
    </row>
    <row r="28" spans="1:21" ht="17.25" x14ac:dyDescent="0.25">
      <c r="A28" s="165"/>
      <c r="B28" s="171" t="s">
        <v>125</v>
      </c>
      <c r="C28" s="172" t="e">
        <f ca="1">SUM(COUNTIFS(INDIRECT("TestingDetail!E:E"),{"accept*","info*","n/a*"}))</f>
        <v>#REF!</v>
      </c>
      <c r="D28" s="175"/>
      <c r="E28" s="261"/>
      <c r="F28" s="165"/>
      <c r="G28" s="165"/>
      <c r="H28" s="165"/>
      <c r="I28" s="165"/>
      <c r="J28" s="165"/>
      <c r="K28" s="165"/>
      <c r="L28" s="165"/>
      <c r="M28" s="165"/>
      <c r="N28" s="165"/>
      <c r="O28" s="165"/>
      <c r="P28" s="165"/>
      <c r="Q28" s="165"/>
      <c r="R28" s="165"/>
      <c r="S28" s="165"/>
      <c r="T28" s="165"/>
      <c r="U28" s="165"/>
    </row>
    <row r="29" spans="1:21" s="267" customFormat="1" ht="11.25" x14ac:dyDescent="0.2">
      <c r="A29" s="264"/>
      <c r="B29" s="265"/>
      <c r="C29" s="265"/>
      <c r="D29" s="265"/>
      <c r="E29" s="266" t="s">
        <v>517</v>
      </c>
      <c r="F29" s="264"/>
      <c r="G29" s="264"/>
      <c r="H29" s="264"/>
      <c r="I29" s="264"/>
      <c r="J29" s="264"/>
      <c r="K29" s="264"/>
      <c r="L29" s="264"/>
      <c r="M29" s="264"/>
      <c r="N29" s="264"/>
      <c r="O29" s="264"/>
      <c r="P29" s="264"/>
      <c r="Q29" s="264"/>
      <c r="R29" s="264"/>
      <c r="S29" s="264"/>
      <c r="T29" s="264"/>
      <c r="U29" s="264"/>
    </row>
    <row r="30" spans="1:21" s="267" customFormat="1" ht="11.25" x14ac:dyDescent="0.2">
      <c r="A30" s="264"/>
      <c r="B30" s="268"/>
      <c r="C30" s="268"/>
      <c r="D30" s="268"/>
      <c r="E30" s="269" t="s">
        <v>518</v>
      </c>
      <c r="F30" s="264"/>
      <c r="G30" s="264"/>
      <c r="H30" s="264"/>
      <c r="I30" s="264"/>
      <c r="J30" s="264"/>
      <c r="K30" s="264"/>
      <c r="L30" s="264"/>
      <c r="M30" s="264"/>
      <c r="N30" s="264"/>
      <c r="O30" s="264"/>
      <c r="P30" s="264"/>
      <c r="Q30" s="264"/>
      <c r="R30" s="264"/>
      <c r="S30" s="264"/>
      <c r="T30" s="264"/>
      <c r="U30" s="264"/>
    </row>
    <row r="31" spans="1:21" s="267" customFormat="1" ht="11.25" x14ac:dyDescent="0.2">
      <c r="A31" s="264"/>
      <c r="B31" s="268"/>
      <c r="C31" s="268"/>
      <c r="D31" s="268"/>
      <c r="E31" s="269"/>
      <c r="F31" s="264"/>
      <c r="G31" s="264"/>
      <c r="H31" s="264"/>
      <c r="I31" s="264"/>
      <c r="J31" s="264"/>
      <c r="K31" s="264"/>
      <c r="L31" s="264"/>
      <c r="M31" s="264"/>
      <c r="N31" s="264"/>
      <c r="O31" s="264"/>
      <c r="P31" s="264"/>
      <c r="Q31" s="264"/>
      <c r="R31" s="264"/>
      <c r="S31" s="264"/>
      <c r="T31" s="264"/>
      <c r="U31" s="264"/>
    </row>
    <row r="32" spans="1:21" x14ac:dyDescent="0.25">
      <c r="A32" s="165"/>
      <c r="B32" s="179" t="s">
        <v>76</v>
      </c>
      <c r="C32" s="180">
        <f ca="1">SUM(ResourceUsed)/3600</f>
        <v>0</v>
      </c>
      <c r="D32" s="181"/>
      <c r="E32" s="272"/>
      <c r="F32" s="165"/>
      <c r="G32" s="165"/>
      <c r="H32" s="165"/>
      <c r="I32" s="165"/>
      <c r="J32" s="165"/>
      <c r="K32" s="165"/>
      <c r="L32" s="165"/>
      <c r="M32" s="165"/>
      <c r="N32" s="165"/>
      <c r="O32" s="165"/>
      <c r="P32" s="165"/>
      <c r="Q32" s="165"/>
      <c r="R32" s="165"/>
      <c r="S32" s="165"/>
      <c r="T32" s="165"/>
      <c r="U32" s="165"/>
    </row>
    <row r="33" spans="1:21" ht="15.75" thickBot="1" x14ac:dyDescent="0.3">
      <c r="A33" s="165"/>
      <c r="B33" s="179" t="s">
        <v>77</v>
      </c>
      <c r="C33" s="182">
        <f ca="1">C14-C32</f>
        <v>0</v>
      </c>
      <c r="D33" s="183"/>
      <c r="E33" s="272"/>
      <c r="F33" s="165"/>
      <c r="G33" s="165"/>
      <c r="H33" s="165"/>
      <c r="I33" s="165"/>
      <c r="J33" s="165"/>
      <c r="K33" s="165"/>
      <c r="L33" s="165"/>
      <c r="M33" s="165"/>
      <c r="N33" s="165"/>
      <c r="O33" s="165"/>
      <c r="P33" s="165"/>
      <c r="Q33" s="165"/>
      <c r="R33" s="165"/>
      <c r="S33" s="165"/>
      <c r="T33" s="165"/>
      <c r="U33" s="165"/>
    </row>
    <row r="34" spans="1:21" ht="16.5" thickTop="1" thickBot="1" x14ac:dyDescent="0.3">
      <c r="A34" s="165"/>
      <c r="B34" s="281"/>
      <c r="C34" s="281"/>
      <c r="D34" s="281"/>
      <c r="E34" s="259"/>
      <c r="F34" s="165"/>
      <c r="G34" s="165"/>
      <c r="H34" s="165"/>
      <c r="I34" s="291" t="s">
        <v>487</v>
      </c>
      <c r="J34" s="292"/>
      <c r="K34" s="292"/>
      <c r="L34" s="292"/>
      <c r="M34" s="292"/>
      <c r="N34" s="292"/>
      <c r="O34" s="292"/>
      <c r="P34" s="293"/>
      <c r="Q34" s="165"/>
      <c r="R34" s="165"/>
      <c r="S34" s="165"/>
      <c r="T34" s="165"/>
      <c r="U34" s="165"/>
    </row>
    <row r="35" spans="1:21" ht="15.75" thickTop="1" x14ac:dyDescent="0.25">
      <c r="A35" s="165"/>
      <c r="B35" s="288" t="s">
        <v>521</v>
      </c>
      <c r="C35" s="289"/>
      <c r="D35" s="290"/>
      <c r="E35" s="259"/>
      <c r="F35" s="165"/>
      <c r="G35" s="165"/>
      <c r="H35" s="165"/>
      <c r="I35" s="165"/>
      <c r="J35" s="165"/>
      <c r="K35" s="165"/>
      <c r="L35" s="165"/>
      <c r="M35" s="165"/>
      <c r="N35" s="165"/>
      <c r="O35" s="165"/>
      <c r="P35" s="165"/>
      <c r="Q35" s="165"/>
      <c r="R35" s="165"/>
      <c r="S35" s="165"/>
      <c r="T35" s="165"/>
      <c r="U35" s="165"/>
    </row>
    <row r="36" spans="1:21" ht="33" customHeight="1" x14ac:dyDescent="0.25">
      <c r="A36" s="165"/>
      <c r="B36" s="285"/>
      <c r="C36" s="286"/>
      <c r="D36" s="287"/>
      <c r="E36" s="259"/>
      <c r="F36" s="165"/>
      <c r="G36" s="165"/>
      <c r="H36" s="165"/>
      <c r="I36" s="165"/>
      <c r="J36" s="165"/>
      <c r="K36" s="165"/>
      <c r="L36" s="165"/>
      <c r="M36" s="165"/>
      <c r="N36" s="165"/>
      <c r="O36" s="165"/>
      <c r="P36" s="165"/>
      <c r="Q36" s="165"/>
      <c r="R36" s="165"/>
      <c r="S36" s="165"/>
      <c r="T36" s="165"/>
      <c r="U36" s="165"/>
    </row>
    <row r="37" spans="1:21" x14ac:dyDescent="0.25">
      <c r="A37" s="165"/>
      <c r="B37" s="259"/>
      <c r="C37" s="259"/>
      <c r="D37" s="259"/>
      <c r="E37" s="259"/>
      <c r="F37" s="165"/>
      <c r="G37" s="165"/>
      <c r="H37" s="165"/>
      <c r="I37" s="165"/>
      <c r="J37" s="165"/>
      <c r="K37" s="165"/>
      <c r="L37" s="165"/>
      <c r="M37" s="165"/>
      <c r="N37" s="165"/>
      <c r="O37" s="165"/>
      <c r="P37" s="165"/>
      <c r="Q37" s="165"/>
      <c r="R37" s="165"/>
      <c r="S37" s="165"/>
      <c r="T37" s="165"/>
      <c r="U37" s="165"/>
    </row>
    <row r="38" spans="1:21" x14ac:dyDescent="0.25">
      <c r="B38" s="42"/>
      <c r="H38" s="48"/>
      <c r="I38" s="48"/>
      <c r="J38" s="48"/>
      <c r="K38" s="48"/>
      <c r="L38" s="48"/>
      <c r="M38" s="48"/>
      <c r="N38" s="48"/>
      <c r="O38" s="48"/>
      <c r="P38" s="48"/>
      <c r="Q38" s="48"/>
    </row>
    <row r="39" spans="1:21" x14ac:dyDescent="0.25">
      <c r="A39" s="25"/>
      <c r="B39" s="255" t="s">
        <v>484</v>
      </c>
      <c r="C39" s="165"/>
      <c r="D39" s="165"/>
      <c r="E39" s="165"/>
      <c r="F39" s="25"/>
      <c r="H39" s="48"/>
      <c r="I39" s="278"/>
      <c r="J39" s="278"/>
      <c r="K39" s="278"/>
      <c r="L39" s="278"/>
      <c r="M39" s="278"/>
      <c r="N39" s="278"/>
      <c r="O39" s="278"/>
      <c r="P39" s="278"/>
      <c r="Q39" s="48"/>
    </row>
    <row r="40" spans="1:21" x14ac:dyDescent="0.25">
      <c r="A40" s="25"/>
      <c r="B40" s="256" t="s">
        <v>485</v>
      </c>
      <c r="C40" s="257" t="e">
        <f ca="1">COUNTIF(INDIRECT("TestingDetail!E:E"),"Failed"&amp;"*")</f>
        <v>#REF!</v>
      </c>
      <c r="D40" s="165"/>
      <c r="E40" s="165"/>
      <c r="F40" s="25"/>
      <c r="H40" s="48"/>
      <c r="I40" s="48"/>
      <c r="J40" s="48"/>
      <c r="K40" s="48"/>
      <c r="L40" s="48"/>
      <c r="M40" s="48"/>
      <c r="N40" s="48"/>
      <c r="O40" s="48"/>
      <c r="P40" s="48"/>
      <c r="Q40" s="48"/>
    </row>
    <row r="41" spans="1:21" x14ac:dyDescent="0.25">
      <c r="A41" s="25"/>
      <c r="B41" s="256" t="s">
        <v>486</v>
      </c>
      <c r="C41" s="257" t="e">
        <f ca="1">COUNTIF(INDIRECT("TestingDetail!E:E"),"Wait"&amp;"*")</f>
        <v>#REF!</v>
      </c>
      <c r="D41" s="165"/>
      <c r="E41" s="165"/>
      <c r="F41" s="25"/>
    </row>
    <row r="42" spans="1:21" x14ac:dyDescent="0.25">
      <c r="A42" s="25"/>
      <c r="B42" s="256" t="s">
        <v>520</v>
      </c>
      <c r="C42" s="257" t="e">
        <f ca="1">COUNTIF(INDIRECT("TestingDetail!E:E"),"Blocked")</f>
        <v>#REF!</v>
      </c>
      <c r="D42" s="165"/>
      <c r="E42" s="165"/>
      <c r="F42" s="25"/>
    </row>
    <row r="43" spans="1:21" x14ac:dyDescent="0.25">
      <c r="B43" s="258"/>
      <c r="C43" s="164"/>
      <c r="D43" s="164"/>
      <c r="E43" s="164"/>
    </row>
  </sheetData>
  <sheetProtection algorithmName="SHA-512" hashValue="cbk57l6cEn0fsAtKYwChHBQnwfS2GWZK5avt2eD8ldIp+7Q3Xx38WzHAdwlDRjDaplZYWWE4SFJXyoocGyNeHg==" saltValue="s1EXfermKoAzrlG2ftThtA==" spinCount="100000" sheet="1" objects="1" scenarios="1" selectLockedCells="1" sort="0" autoFilter="0"/>
  <protectedRanges>
    <protectedRange password="DDDF" sqref="I38:R38 A43:XFD1048576 G39:G42 H16:XFD28 I39:L39 N39:P39 H40:P42 R39:R42 Q39:Q40 Q42 A16:G17 A6:XFD15 A32:G34 F18:G28 A18:D28 A37:G38 A35:A36 E35:G36 H32:R33 S32:XFD42 H35:R37 H34:L34 N34:R34 A1:XFD5" name="projectsummary" securityDescriptor="O:WDG:WDD:(A;;CC;;;S-1-5-21-1065746463-197919211-1947940980-1133)(A;;CC;;;S-1-5-21-1065746463-197919211-1947940980-1272)(A;;CC;;;S-1-5-21-1065746463-197919211-1947940980-1303)(A;;CC;;;S-1-5-21-1065746463-197919211-1947940980-1127)"/>
    <protectedRange password="DDDF" sqref="A39:F42" name="projectsummary_1" securityDescriptor="O:WDG:WDD:(A;;CC;;;S-1-5-21-1065746463-197919211-1947940980-1133)(A;;CC;;;S-1-5-21-1065746463-197919211-1947940980-1272)(A;;CC;;;S-1-5-21-1065746463-197919211-1947940980-1303)(A;;CC;;;S-1-5-21-1065746463-197919211-1947940980-1127)"/>
    <protectedRange password="DDDF" sqref="E18:E28" name="projectsummary_2" securityDescriptor="O:WDG:WDD:(A;;CC;;;S-1-5-21-1065746463-197919211-1947940980-1133)(A;;CC;;;S-1-5-21-1065746463-197919211-1947940980-1272)(A;;CC;;;S-1-5-21-1065746463-197919211-1947940980-1303)(A;;CC;;;S-1-5-21-1065746463-197919211-1947940980-1127)"/>
    <protectedRange password="DDDF" sqref="A29:XFD31" name="projectsummary_3" securityDescriptor="O:WDG:WDD:(A;;CC;;;S-1-5-21-1065746463-197919211-1947940980-1133)(A;;CC;;;S-1-5-21-1065746463-197919211-1947940980-1272)(A;;CC;;;S-1-5-21-1065746463-197919211-1947940980-1303)(A;;CC;;;S-1-5-21-1065746463-197919211-1947940980-1127)"/>
    <protectedRange password="DDDF" sqref="B35:D36" name="projectsummary_5" securityDescriptor="O:WDG:WDD:(A;;CC;;;S-1-5-21-1065746463-197919211-1947940980-1133)(A;;CC;;;S-1-5-21-1065746463-197919211-1947940980-1272)(A;;CC;;;S-1-5-21-1065746463-197919211-1947940980-1303)(A;;CC;;;S-1-5-21-1065746463-197919211-1947940980-1127)"/>
  </protectedRanges>
  <mergeCells count="19">
    <mergeCell ref="C5:D5"/>
    <mergeCell ref="B8:D8"/>
    <mergeCell ref="C4:D4"/>
    <mergeCell ref="B3:D3"/>
    <mergeCell ref="I39:P39"/>
    <mergeCell ref="C9:D9"/>
    <mergeCell ref="C7:D7"/>
    <mergeCell ref="C10:D10"/>
    <mergeCell ref="C6:D6"/>
    <mergeCell ref="B34:D34"/>
    <mergeCell ref="C11:D11"/>
    <mergeCell ref="B12:D12"/>
    <mergeCell ref="C13:D13"/>
    <mergeCell ref="C15:D15"/>
    <mergeCell ref="B16:D16"/>
    <mergeCell ref="C14:D14"/>
    <mergeCell ref="B36:D36"/>
    <mergeCell ref="B35:D35"/>
    <mergeCell ref="I34:P34"/>
  </mergeCells>
  <dataValidations count="5">
    <dataValidation type="list" allowBlank="1" showInputMessage="1" showErrorMessage="1" sqref="C7:E7">
      <formula1>ValidEnvs</formula1>
    </dataValidation>
    <dataValidation type="list" allowBlank="1" showInputMessage="1" showErrorMessage="1" sqref="C5:E5">
      <formula1>ValidProjectTypes</formula1>
    </dataValidation>
    <dataValidation type="list" allowBlank="1" showInputMessage="1" showErrorMessage="1" sqref="C9:E9">
      <formula1>ValidCSMs</formula1>
    </dataValidation>
    <dataValidation type="list" allowBlank="1" showInputMessage="1" showErrorMessage="1" sqref="C10:E10">
      <formula1>ValidTesters</formula1>
    </dataValidation>
    <dataValidation type="list" allowBlank="1" showInputMessage="1" showErrorMessage="1" sqref="C6:E6">
      <formula1>ValidInstanceNames</formula1>
    </dataValidation>
  </dataValidations>
  <pageMargins left="0.25" right="0.25" top="0.75" bottom="0.75" header="0.3" footer="0.3"/>
  <pageSetup scale="77" orientation="landscape" r:id="rId1"/>
  <headerFooter>
    <oddHeader>&amp;C&amp;"-,Bold Italic"&amp;14&amp;K04-049&amp;A</oddHeader>
    <oddFooter>&amp;L&amp;D &amp;T&amp;C&amp;F &amp;A&amp;R&amp;P of &amp;N</oddFooter>
  </headerFooter>
  <drawing r:id="rId2"/>
  <legacyDrawing r:id="rId3"/>
  <controls>
    <mc:AlternateContent xmlns:mc="http://schemas.openxmlformats.org/markup-compatibility/2006">
      <mc:Choice Requires="x14">
        <control shapeId="1037" r:id="rId4" name="Finalize">
          <controlPr autoLine="0" autoPict="0" altText="Finalize Project" r:id="rId5">
            <anchor moveWithCells="1">
              <from>
                <xdr:col>0</xdr:col>
                <xdr:colOff>323850</xdr:colOff>
                <xdr:row>15</xdr:row>
                <xdr:rowOff>0</xdr:rowOff>
              </from>
              <to>
                <xdr:col>3</xdr:col>
                <xdr:colOff>809625</xdr:colOff>
                <xdr:row>15</xdr:row>
                <xdr:rowOff>314325</xdr:rowOff>
              </to>
            </anchor>
          </controlPr>
        </control>
      </mc:Choice>
      <mc:Fallback>
        <control shapeId="1037" r:id="rId4" name="Finaliz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INDIRECT(LookupValues!$H$48)</xm:f>
          </x14:formula1>
          <xm:sqref>C11:E11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I106"/>
  <sheetViews>
    <sheetView showGridLines="0" workbookViewId="0">
      <pane ySplit="2" topLeftCell="A3" activePane="bottomLeft" state="frozen"/>
      <selection pane="bottomLeft" activeCell="B11" sqref="B11"/>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TestingDetail-cim-courseadmin</v>
      </c>
      <c r="B1" s="229"/>
      <c r="C1" s="236" t="str">
        <f>ProjectSummary!$D$1</f>
        <v xml:space="preserve"> -  /</v>
      </c>
      <c r="D1" s="230"/>
      <c r="E1" s="230"/>
      <c r="F1" s="230"/>
      <c r="G1" s="203"/>
      <c r="H1" s="204"/>
      <c r="I1" s="205"/>
    </row>
    <row r="2" spans="1:9" s="77" customFormat="1" ht="33" thickTop="1" thickBot="1" x14ac:dyDescent="0.3">
      <c r="A2" s="243" t="s">
        <v>489</v>
      </c>
      <c r="B2" s="206" t="s">
        <v>126</v>
      </c>
      <c r="C2" s="207" t="s">
        <v>0</v>
      </c>
      <c r="D2" s="208" t="s">
        <v>62</v>
      </c>
      <c r="E2" s="208" t="s">
        <v>61</v>
      </c>
      <c r="F2" s="209" t="s">
        <v>58</v>
      </c>
      <c r="G2" s="210" t="s">
        <v>201</v>
      </c>
      <c r="H2" s="211" t="s">
        <v>202</v>
      </c>
      <c r="I2" s="212" t="s">
        <v>60</v>
      </c>
    </row>
    <row r="3" spans="1:9" s="25" customFormat="1" ht="19.5" hidden="1" customHeight="1" thickTop="1" x14ac:dyDescent="0.25">
      <c r="A3" s="71"/>
      <c r="B3" s="135" t="s">
        <v>206</v>
      </c>
      <c r="C3" s="136" t="s">
        <v>204</v>
      </c>
      <c r="D3" s="103"/>
      <c r="E3" s="244" t="s">
        <v>205</v>
      </c>
      <c r="F3" s="244"/>
      <c r="G3" s="244"/>
      <c r="H3" s="104"/>
      <c r="I3" s="137"/>
    </row>
    <row r="4" spans="1:9" s="73" customFormat="1" ht="16.5" thickTop="1" x14ac:dyDescent="0.25">
      <c r="A4" s="124" t="str">
        <f>IF(AND(B4&lt;&gt;"",C4&lt;&gt;"",LEFT(B4,1)&lt;&gt;"#"),MAX(#REF!)+1,"")</f>
        <v/>
      </c>
      <c r="B4" s="150" t="s">
        <v>471</v>
      </c>
      <c r="C4" s="125"/>
      <c r="D4" s="126"/>
      <c r="E4" s="127"/>
      <c r="F4" s="128"/>
      <c r="G4" s="128"/>
      <c r="H4" s="129"/>
      <c r="I4" s="130"/>
    </row>
    <row r="5" spans="1:9" ht="30" x14ac:dyDescent="0.25">
      <c r="A5" s="78">
        <f>IF(AND(B5&lt;&gt;"",C5&lt;&gt;"",LEFT(B5,1)&lt;&gt;"#"),MAX($A$2:A4)+1,"")</f>
        <v>1</v>
      </c>
      <c r="B5" s="186" t="s">
        <v>1</v>
      </c>
      <c r="C5" s="187" t="s">
        <v>2</v>
      </c>
      <c r="D5" s="192"/>
      <c r="E5" s="56"/>
      <c r="F5" s="26"/>
      <c r="G5" s="69"/>
      <c r="H5" s="74"/>
      <c r="I5" s="65"/>
    </row>
    <row r="6" spans="1:9" x14ac:dyDescent="0.25">
      <c r="A6" s="190"/>
      <c r="B6" s="135" t="str">
        <f>$B$3</f>
        <v>( Add new test case )</v>
      </c>
      <c r="C6" s="136" t="str">
        <f>$C$3</f>
        <v>( Remove previous test result )</v>
      </c>
      <c r="D6" s="103"/>
      <c r="E6" s="244" t="str">
        <f>$E$3</f>
        <v>( Add new test result )</v>
      </c>
      <c r="F6" s="244"/>
      <c r="G6" s="244"/>
      <c r="H6" s="104"/>
      <c r="I6" s="66"/>
    </row>
    <row r="7" spans="1:9" ht="45" x14ac:dyDescent="0.25">
      <c r="A7" s="52">
        <f>IF(AND(B7&lt;&gt;"",C7&lt;&gt;"",LEFT(B7,1)&lt;&gt;"#"),MAX($A$2:A5)+1,"")</f>
        <v>2</v>
      </c>
      <c r="B7" s="14" t="s">
        <v>492</v>
      </c>
      <c r="C7" s="86" t="s">
        <v>3</v>
      </c>
      <c r="D7" s="51"/>
      <c r="E7" s="56"/>
      <c r="F7" s="26"/>
      <c r="G7" s="69"/>
      <c r="H7" s="74"/>
      <c r="I7" s="67"/>
    </row>
    <row r="8" spans="1:9" x14ac:dyDescent="0.25">
      <c r="A8" s="58"/>
      <c r="B8" s="102" t="str">
        <f>$B$3</f>
        <v>( Add new test case )</v>
      </c>
      <c r="C8" s="99" t="str">
        <f>$C$3</f>
        <v>( Remove previous test result )</v>
      </c>
      <c r="D8" s="103"/>
      <c r="E8" s="244" t="str">
        <f>$E$3</f>
        <v>( Add new test result )</v>
      </c>
      <c r="F8" s="244"/>
      <c r="G8" s="244"/>
      <c r="H8" s="104"/>
      <c r="I8" s="66"/>
    </row>
    <row r="9" spans="1:9" ht="30" x14ac:dyDescent="0.25">
      <c r="A9" s="191">
        <f>IF(AND(B9&lt;&gt;"",C9&lt;&gt;"",LEFT(B9,1)&lt;&gt;"#"),MAX($A$2:A7)+1,"")</f>
        <v>3</v>
      </c>
      <c r="B9" s="188" t="s">
        <v>493</v>
      </c>
      <c r="C9" s="189" t="s">
        <v>5</v>
      </c>
      <c r="D9" s="152"/>
      <c r="E9" s="56"/>
      <c r="F9" s="26"/>
      <c r="G9" s="69"/>
      <c r="H9" s="74"/>
      <c r="I9" s="67"/>
    </row>
    <row r="10" spans="1:9" x14ac:dyDescent="0.25">
      <c r="A10" s="190"/>
      <c r="B10" s="135" t="str">
        <f>$B$3</f>
        <v>( Add new test case )</v>
      </c>
      <c r="C10" s="136" t="str">
        <f>$C$3</f>
        <v>( Remove previous test result )</v>
      </c>
      <c r="D10" s="103"/>
      <c r="E10" s="244" t="str">
        <f>$E$3</f>
        <v>( Add new test result )</v>
      </c>
      <c r="F10" s="244"/>
      <c r="G10" s="244"/>
      <c r="H10" s="104"/>
      <c r="I10" s="66"/>
    </row>
    <row r="11" spans="1:9" ht="30" x14ac:dyDescent="0.25">
      <c r="A11" s="52">
        <f>IF(AND(B11&lt;&gt;"",C11&lt;&gt;"",LEFT(B11,1)&lt;&gt;"#"),MAX($A$2:A10)+1,"")</f>
        <v>4</v>
      </c>
      <c r="B11" s="15" t="s">
        <v>128</v>
      </c>
      <c r="C11" s="87" t="s">
        <v>4</v>
      </c>
      <c r="D11" s="51"/>
      <c r="E11" s="56"/>
      <c r="F11" s="26"/>
      <c r="G11" s="69"/>
      <c r="H11" s="74"/>
      <c r="I11" s="67"/>
    </row>
    <row r="12" spans="1:9" x14ac:dyDescent="0.25">
      <c r="A12" s="58"/>
      <c r="B12" s="79"/>
      <c r="C12" s="79"/>
      <c r="D12" s="103"/>
      <c r="E12" s="244" t="str">
        <f>$E$3</f>
        <v>( Add new test result )</v>
      </c>
      <c r="F12" s="244"/>
      <c r="G12" s="244"/>
      <c r="H12" s="104"/>
      <c r="I12" s="66"/>
    </row>
    <row r="13" spans="1:9" ht="30" x14ac:dyDescent="0.25">
      <c r="A13" s="52">
        <f>IF(AND(B13&lt;&gt;"",C13&lt;&gt;"",LEFT(B13,1)&lt;&gt;"#"),MAX($A$2:A12)+1,"")</f>
        <v>5</v>
      </c>
      <c r="B13" s="15" t="s">
        <v>494</v>
      </c>
      <c r="C13" s="87" t="s">
        <v>6</v>
      </c>
      <c r="D13" s="51"/>
      <c r="E13" s="56"/>
      <c r="F13" s="26"/>
      <c r="G13" s="69"/>
      <c r="H13" s="74"/>
      <c r="I13" s="67"/>
    </row>
    <row r="14" spans="1:9" x14ac:dyDescent="0.25">
      <c r="A14" s="58"/>
      <c r="B14" s="102" t="str">
        <f>$B$3</f>
        <v>( Add new test case )</v>
      </c>
      <c r="C14" s="99" t="str">
        <f>$C$3</f>
        <v>( Remove previous test result )</v>
      </c>
      <c r="D14" s="103"/>
      <c r="E14" s="244" t="str">
        <f>$E$3</f>
        <v>( Add new test result )</v>
      </c>
      <c r="F14" s="244"/>
      <c r="G14" s="244"/>
      <c r="H14" s="104"/>
      <c r="I14" s="66"/>
    </row>
    <row r="15" spans="1:9" ht="30" x14ac:dyDescent="0.25">
      <c r="A15" s="52">
        <f>IF(AND(B15&lt;&gt;"",C15&lt;&gt;"",LEFT(B15,1)&lt;&gt;"#"),MAX($A$2:A14)+1,"")</f>
        <v>6</v>
      </c>
      <c r="B15" s="15" t="s">
        <v>130</v>
      </c>
      <c r="C15" s="87" t="s">
        <v>7</v>
      </c>
      <c r="D15" s="51"/>
      <c r="E15" s="56"/>
      <c r="F15" s="26"/>
      <c r="G15" s="69"/>
      <c r="H15" s="74"/>
      <c r="I15" s="67"/>
    </row>
    <row r="16" spans="1:9" x14ac:dyDescent="0.25">
      <c r="A16" s="58"/>
      <c r="B16" s="102" t="str">
        <f>$B$3</f>
        <v>( Add new test case )</v>
      </c>
      <c r="C16" s="99" t="str">
        <f>$C$3</f>
        <v>( Remove previous test result )</v>
      </c>
      <c r="D16" s="103"/>
      <c r="E16" s="244" t="str">
        <f>$E$3</f>
        <v>( Add new test result )</v>
      </c>
      <c r="F16" s="244"/>
      <c r="G16" s="244"/>
      <c r="H16" s="104"/>
      <c r="I16" s="66"/>
    </row>
    <row r="17" spans="1:9" ht="45" x14ac:dyDescent="0.25">
      <c r="A17" s="52">
        <f>IF(AND(B17&lt;&gt;"",C17&lt;&gt;"",LEFT(B17,1)&lt;&gt;"#"),MAX($A$2:A16)+1,"")</f>
        <v>7</v>
      </c>
      <c r="B17" s="15" t="s">
        <v>131</v>
      </c>
      <c r="C17" s="87" t="s">
        <v>8</v>
      </c>
      <c r="D17" s="51"/>
      <c r="E17" s="56"/>
      <c r="F17" s="26" t="str">
        <f t="shared" ref="F17:F25" ca="1" si="0">IF(E17&lt;&gt;"",NOW(),"")</f>
        <v/>
      </c>
      <c r="G17" s="69"/>
      <c r="H17" s="74"/>
      <c r="I17" s="67"/>
    </row>
    <row r="18" spans="1:9" x14ac:dyDescent="0.25">
      <c r="A18" s="58"/>
      <c r="B18" s="102" t="str">
        <f>$B$3</f>
        <v>( Add new test case )</v>
      </c>
      <c r="C18" s="99" t="str">
        <f>$C$3</f>
        <v>( Remove previous test result )</v>
      </c>
      <c r="D18" s="103"/>
      <c r="E18" s="244" t="str">
        <f>$E$3</f>
        <v>( Add new test result )</v>
      </c>
      <c r="F18" s="244"/>
      <c r="G18" s="244"/>
      <c r="H18" s="104"/>
      <c r="I18" s="66"/>
    </row>
    <row r="19" spans="1:9" ht="60" x14ac:dyDescent="0.25">
      <c r="A19" s="52">
        <f>IF(AND(B19&lt;&gt;"",C19&lt;&gt;"",LEFT(B19,1)&lt;&gt;"#"),MAX($A$2:A18)+1,"")</f>
        <v>8</v>
      </c>
      <c r="B19" s="16" t="s">
        <v>495</v>
      </c>
      <c r="C19" s="16" t="s">
        <v>207</v>
      </c>
      <c r="D19" s="51"/>
      <c r="E19" s="56"/>
      <c r="F19" s="26"/>
      <c r="G19" s="69"/>
      <c r="H19" s="74"/>
      <c r="I19" s="67"/>
    </row>
    <row r="20" spans="1:9" x14ac:dyDescent="0.25">
      <c r="A20" s="58"/>
      <c r="B20" s="102" t="str">
        <f>$B$3</f>
        <v>( Add new test case )</v>
      </c>
      <c r="C20" s="99" t="str">
        <f>$C$3</f>
        <v>( Remove previous test result )</v>
      </c>
      <c r="D20" s="103"/>
      <c r="E20" s="244" t="str">
        <f>$E$3</f>
        <v>( Add new test result )</v>
      </c>
      <c r="F20" s="244"/>
      <c r="G20" s="244"/>
      <c r="H20" s="104"/>
      <c r="I20" s="66"/>
    </row>
    <row r="21" spans="1:9" ht="30" x14ac:dyDescent="0.25">
      <c r="A21" s="52">
        <f>IF(AND(B21&lt;&gt;"",C21&lt;&gt;"",LEFT(B21,1)&lt;&gt;"#"),MAX($A$2:A20)+1,"")</f>
        <v>9</v>
      </c>
      <c r="B21" s="17" t="s">
        <v>132</v>
      </c>
      <c r="C21" s="17" t="s">
        <v>22</v>
      </c>
      <c r="D21" s="51"/>
      <c r="E21" s="56"/>
      <c r="F21" s="26" t="str">
        <f t="shared" ca="1" si="0"/>
        <v/>
      </c>
      <c r="G21" s="69"/>
      <c r="H21" s="74"/>
      <c r="I21" s="67"/>
    </row>
    <row r="22" spans="1:9" x14ac:dyDescent="0.25">
      <c r="A22" s="58"/>
      <c r="B22" s="102" t="str">
        <f>$B$3</f>
        <v>( Add new test case )</v>
      </c>
      <c r="C22" s="99" t="str">
        <f>$C$3</f>
        <v>( Remove previous test result )</v>
      </c>
      <c r="D22" s="103"/>
      <c r="E22" s="244" t="str">
        <f>$E$3</f>
        <v>( Add new test result )</v>
      </c>
      <c r="F22" s="244"/>
      <c r="G22" s="244"/>
      <c r="H22" s="104"/>
      <c r="I22" s="66"/>
    </row>
    <row r="23" spans="1:9" ht="45" x14ac:dyDescent="0.25">
      <c r="A23" s="52">
        <f>IF(AND(B23&lt;&gt;"",C23&lt;&gt;"",LEFT(B23,1)&lt;&gt;"#"),MAX($A$2:A22)+1,"")</f>
        <v>10</v>
      </c>
      <c r="B23" s="16" t="s">
        <v>496</v>
      </c>
      <c r="C23" s="16" t="s">
        <v>208</v>
      </c>
      <c r="D23" s="51"/>
      <c r="E23" s="56"/>
      <c r="F23" s="26" t="str">
        <f t="shared" ca="1" si="0"/>
        <v/>
      </c>
      <c r="G23" s="69"/>
      <c r="H23" s="74"/>
      <c r="I23" s="67"/>
    </row>
    <row r="24" spans="1:9" x14ac:dyDescent="0.25">
      <c r="A24" s="58"/>
      <c r="B24" s="102" t="str">
        <f>$B$3</f>
        <v>( Add new test case )</v>
      </c>
      <c r="C24" s="99" t="str">
        <f>$C$3</f>
        <v>( Remove previous test result )</v>
      </c>
      <c r="D24" s="103"/>
      <c r="E24" s="244" t="str">
        <f>$E$3</f>
        <v>( Add new test result )</v>
      </c>
      <c r="F24" s="244"/>
      <c r="G24" s="244"/>
      <c r="H24" s="104"/>
      <c r="I24" s="66"/>
    </row>
    <row r="25" spans="1:9" ht="45" x14ac:dyDescent="0.25">
      <c r="A25" s="52">
        <f>IF(AND(B25&lt;&gt;"",C25&lt;&gt;"",LEFT(B25,1)&lt;&gt;"#"),MAX($A$2:A24)+1,"")</f>
        <v>11</v>
      </c>
      <c r="B25" s="16" t="s">
        <v>133</v>
      </c>
      <c r="C25" s="16" t="s">
        <v>27</v>
      </c>
      <c r="D25" s="51"/>
      <c r="E25" s="56"/>
      <c r="F25" s="26" t="str">
        <f t="shared" ca="1" si="0"/>
        <v/>
      </c>
      <c r="G25" s="69"/>
      <c r="H25" s="74"/>
      <c r="I25" s="67"/>
    </row>
    <row r="26" spans="1:9" x14ac:dyDescent="0.25">
      <c r="A26" s="58"/>
      <c r="B26" s="102" t="str">
        <f>$B$3</f>
        <v>( Add new test case )</v>
      </c>
      <c r="C26" s="99" t="str">
        <f>$C$3</f>
        <v>( Remove previous test result )</v>
      </c>
      <c r="D26" s="103"/>
      <c r="E26" s="244" t="str">
        <f>$E$3</f>
        <v>( Add new test result )</v>
      </c>
      <c r="F26" s="244"/>
      <c r="G26" s="244"/>
      <c r="H26" s="104"/>
      <c r="I26" s="66"/>
    </row>
    <row r="27" spans="1:9" ht="15.75" x14ac:dyDescent="0.25">
      <c r="A27" s="124" t="str">
        <f>IF(AND(B27&lt;&gt;"",C27&lt;&gt;"",LEFT(B27,1)&lt;&gt;"#"),MAX(#REF!)+1,"")</f>
        <v/>
      </c>
      <c r="B27" s="150" t="s">
        <v>67</v>
      </c>
      <c r="C27" s="125"/>
      <c r="D27" s="126"/>
      <c r="E27" s="127"/>
      <c r="F27" s="128"/>
      <c r="G27" s="128"/>
      <c r="H27" s="129"/>
      <c r="I27" s="130"/>
    </row>
    <row r="28" spans="1:9" ht="30" x14ac:dyDescent="0.25">
      <c r="A28" s="52">
        <f>IF(AND(B28&lt;&gt;"",C28&lt;&gt;"",LEFT(B28,1)&lt;&gt;"#"),MAX($A$2:A27)+1,"")</f>
        <v>12</v>
      </c>
      <c r="B28" s="18" t="s">
        <v>144</v>
      </c>
      <c r="C28" s="88" t="s">
        <v>26</v>
      </c>
      <c r="D28" s="51"/>
      <c r="E28" s="56"/>
      <c r="F28" s="26"/>
      <c r="G28" s="69"/>
      <c r="H28" s="74"/>
      <c r="I28" s="65"/>
    </row>
    <row r="29" spans="1:9" x14ac:dyDescent="0.25">
      <c r="A29" s="58"/>
      <c r="B29" s="102" t="str">
        <f>$B$3</f>
        <v>( Add new test case )</v>
      </c>
      <c r="C29" s="99" t="str">
        <f>$C$3</f>
        <v>( Remove previous test result )</v>
      </c>
      <c r="D29" s="103"/>
      <c r="E29" s="244" t="str">
        <f>$E$3</f>
        <v>( Add new test result )</v>
      </c>
      <c r="F29" s="244"/>
      <c r="G29" s="244"/>
      <c r="H29" s="104"/>
      <c r="I29" s="66"/>
    </row>
    <row r="30" spans="1:9" ht="60" x14ac:dyDescent="0.25">
      <c r="A30" s="52">
        <f>IF(AND(B30&lt;&gt;"",C30&lt;&gt;"",LEFT(B30,1)&lt;&gt;"#"),MAX($A$2:A29)+1,"")</f>
        <v>13</v>
      </c>
      <c r="B30" s="19" t="s">
        <v>145</v>
      </c>
      <c r="C30" s="89" t="s">
        <v>209</v>
      </c>
      <c r="D30" s="51"/>
      <c r="E30" s="56"/>
      <c r="F30" s="26"/>
      <c r="G30" s="69"/>
      <c r="H30" s="74"/>
      <c r="I30" s="246"/>
    </row>
    <row r="31" spans="1:9" x14ac:dyDescent="0.25">
      <c r="A31" s="58"/>
      <c r="B31" s="102" t="str">
        <f>$B$3</f>
        <v>( Add new test case )</v>
      </c>
      <c r="C31" s="99" t="str">
        <f>$C$3</f>
        <v>( Remove previous test result )</v>
      </c>
      <c r="D31" s="103"/>
      <c r="E31" s="244" t="str">
        <f>$E$3</f>
        <v>( Add new test result )</v>
      </c>
      <c r="F31" s="244"/>
      <c r="G31" s="244"/>
      <c r="H31" s="104"/>
      <c r="I31" s="66"/>
    </row>
    <row r="32" spans="1:9" ht="30" x14ac:dyDescent="0.25">
      <c r="A32" s="52">
        <f>IF(AND(B32&lt;&gt;"",C32&lt;&gt;"",LEFT(B32,1)&lt;&gt;"#"),MAX($A$2:A31)+1,"")</f>
        <v>14</v>
      </c>
      <c r="B32" s="19" t="s">
        <v>497</v>
      </c>
      <c r="C32" s="89" t="s">
        <v>210</v>
      </c>
      <c r="D32" s="51"/>
      <c r="E32" s="56"/>
      <c r="F32" s="26" t="str">
        <f t="shared" ref="F32" ca="1" si="1">IF(E32&lt;&gt;"",NOW(),"")</f>
        <v/>
      </c>
      <c r="G32" s="69"/>
      <c r="H32" s="74"/>
      <c r="I32" s="246"/>
    </row>
    <row r="33" spans="1:9" x14ac:dyDescent="0.25">
      <c r="A33" s="58"/>
      <c r="B33" s="102" t="str">
        <f>$B$3</f>
        <v>( Add new test case )</v>
      </c>
      <c r="C33" s="99" t="str">
        <f>$C$3</f>
        <v>( Remove previous test result )</v>
      </c>
      <c r="D33" s="103"/>
      <c r="E33" s="244" t="str">
        <f>$E$3</f>
        <v>( Add new test result )</v>
      </c>
      <c r="F33" s="244"/>
      <c r="G33" s="244"/>
      <c r="H33" s="104"/>
      <c r="I33" s="66"/>
    </row>
    <row r="34" spans="1:9" ht="30" x14ac:dyDescent="0.25">
      <c r="A34" s="52">
        <f>IF(AND(B34&lt;&gt;"",C34&lt;&gt;"",LEFT(B34,1)&lt;&gt;"#"),MAX($A$2:A33)+1,"")</f>
        <v>15</v>
      </c>
      <c r="B34" s="19" t="s">
        <v>149</v>
      </c>
      <c r="C34" s="89" t="s">
        <v>28</v>
      </c>
      <c r="D34" s="51"/>
      <c r="E34" s="56"/>
      <c r="F34" s="26" t="str">
        <f t="shared" ref="F34" ca="1" si="2">IF(E34&lt;&gt;"",NOW(),"")</f>
        <v/>
      </c>
      <c r="G34" s="69"/>
      <c r="H34" s="74"/>
      <c r="I34" s="246"/>
    </row>
    <row r="35" spans="1:9" x14ac:dyDescent="0.25">
      <c r="A35" s="58"/>
      <c r="B35" s="102" t="str">
        <f>$B$3</f>
        <v>( Add new test case )</v>
      </c>
      <c r="C35" s="99" t="str">
        <f>$C$3</f>
        <v>( Remove previous test result )</v>
      </c>
      <c r="D35" s="103"/>
      <c r="E35" s="244" t="str">
        <f>$E$3</f>
        <v>( Add new test result )</v>
      </c>
      <c r="F35" s="244"/>
      <c r="G35" s="244"/>
      <c r="H35" s="104"/>
      <c r="I35" s="66"/>
    </row>
    <row r="36" spans="1:9" ht="45" x14ac:dyDescent="0.25">
      <c r="A36" s="52">
        <f>IF(AND(B36&lt;&gt;"",C36&lt;&gt;"",LEFT(B36,1)&lt;&gt;"#"),MAX($A$2:A35)+1,"")</f>
        <v>16</v>
      </c>
      <c r="B36" s="19" t="s">
        <v>498</v>
      </c>
      <c r="C36" s="89" t="s">
        <v>499</v>
      </c>
      <c r="D36" s="51"/>
      <c r="E36" s="56"/>
      <c r="F36" s="26" t="str">
        <f t="shared" ref="F36" ca="1" si="3">IF(E36&lt;&gt;"",NOW(),"")</f>
        <v/>
      </c>
      <c r="G36" s="69"/>
      <c r="H36" s="74"/>
      <c r="I36" s="67"/>
    </row>
    <row r="37" spans="1:9" x14ac:dyDescent="0.25">
      <c r="A37" s="58"/>
      <c r="B37" s="102" t="str">
        <f>$B$3</f>
        <v>( Add new test case )</v>
      </c>
      <c r="C37" s="99" t="str">
        <f>$C$3</f>
        <v>( Remove previous test result )</v>
      </c>
      <c r="D37" s="103"/>
      <c r="E37" s="244" t="str">
        <f>$E$3</f>
        <v>( Add new test result )</v>
      </c>
      <c r="F37" s="244"/>
      <c r="G37" s="244"/>
      <c r="H37" s="104"/>
      <c r="I37" s="66"/>
    </row>
    <row r="38" spans="1:9" ht="30" x14ac:dyDescent="0.25">
      <c r="A38" s="52">
        <f>IF(AND(B38&lt;&gt;"",C38&lt;&gt;"",LEFT(B38,1)&lt;&gt;"#"),MAX($A$2:A37)+1,"")</f>
        <v>17</v>
      </c>
      <c r="B38" s="19" t="s">
        <v>500</v>
      </c>
      <c r="C38" s="89" t="s">
        <v>211</v>
      </c>
      <c r="D38" s="51"/>
      <c r="E38" s="56"/>
      <c r="F38" s="118" t="str">
        <f t="shared" ref="F38" ca="1" si="4">IF(E38&lt;&gt;"",NOW(),"")</f>
        <v/>
      </c>
      <c r="G38" s="69"/>
      <c r="H38" s="74"/>
      <c r="I38" s="67"/>
    </row>
    <row r="39" spans="1:9" x14ac:dyDescent="0.25">
      <c r="A39" s="58"/>
      <c r="B39" s="102" t="str">
        <f>$B$3</f>
        <v>( Add new test case )</v>
      </c>
      <c r="C39" s="99" t="str">
        <f>$C$3</f>
        <v>( Remove previous test result )</v>
      </c>
      <c r="D39" s="103"/>
      <c r="E39" s="244" t="str">
        <f>$E$3</f>
        <v>( Add new test result )</v>
      </c>
      <c r="F39" s="244"/>
      <c r="G39" s="244"/>
      <c r="H39" s="104"/>
      <c r="I39" s="66"/>
    </row>
    <row r="40" spans="1:9" ht="45" x14ac:dyDescent="0.25">
      <c r="A40" s="52">
        <f>IF(AND(B40&lt;&gt;"",C40&lt;&gt;"",LEFT(B40,1)&lt;&gt;"#"),MAX($A$2:A39)+1,"")</f>
        <v>18</v>
      </c>
      <c r="B40" s="19" t="s">
        <v>150</v>
      </c>
      <c r="C40" s="89" t="s">
        <v>9</v>
      </c>
      <c r="D40" s="51"/>
      <c r="E40" s="56"/>
      <c r="F40" s="26"/>
      <c r="G40" s="69"/>
      <c r="H40" s="74"/>
      <c r="I40" s="67"/>
    </row>
    <row r="41" spans="1:9" x14ac:dyDescent="0.25">
      <c r="A41" s="58"/>
      <c r="B41" s="102" t="str">
        <f>$B$3</f>
        <v>( Add new test case )</v>
      </c>
      <c r="C41" s="99" t="str">
        <f>$C$3</f>
        <v>( Remove previous test result )</v>
      </c>
      <c r="D41" s="103"/>
      <c r="E41" s="244" t="str">
        <f>$E$3</f>
        <v>( Add new test result )</v>
      </c>
      <c r="F41" s="244"/>
      <c r="G41" s="244"/>
      <c r="H41" s="104"/>
      <c r="I41" s="66"/>
    </row>
    <row r="42" spans="1:9" ht="60" x14ac:dyDescent="0.25">
      <c r="A42" s="52">
        <f>IF(AND(B42&lt;&gt;"",C42&lt;&gt;"",LEFT(B42,1)&lt;&gt;"#"),MAX($A$2:A41)+1,"")</f>
        <v>19</v>
      </c>
      <c r="B42" s="19" t="s">
        <v>151</v>
      </c>
      <c r="C42" s="89" t="s">
        <v>10</v>
      </c>
      <c r="D42" s="51"/>
      <c r="E42" s="56"/>
      <c r="F42" s="26"/>
      <c r="G42" s="69"/>
      <c r="H42" s="74"/>
      <c r="I42" s="67"/>
    </row>
    <row r="43" spans="1:9" x14ac:dyDescent="0.25">
      <c r="A43" s="58"/>
      <c r="B43" s="102" t="str">
        <f>$B$3</f>
        <v>( Add new test case )</v>
      </c>
      <c r="C43" s="99" t="str">
        <f>$C$3</f>
        <v>( Remove previous test result )</v>
      </c>
      <c r="D43" s="103"/>
      <c r="E43" s="244" t="str">
        <f>$E$3</f>
        <v>( Add new test result )</v>
      </c>
      <c r="F43" s="244"/>
      <c r="G43" s="244"/>
      <c r="H43" s="104"/>
      <c r="I43" s="66"/>
    </row>
    <row r="44" spans="1:9" ht="75" x14ac:dyDescent="0.25">
      <c r="A44" s="52">
        <f>IF(AND(B44&lt;&gt;"",C44&lt;&gt;"",LEFT(B44,1)&lt;&gt;"#"),MAX($A$2:A43)+1,"")</f>
        <v>20</v>
      </c>
      <c r="B44" s="19" t="s">
        <v>152</v>
      </c>
      <c r="C44" s="89" t="s">
        <v>31</v>
      </c>
      <c r="D44" s="51"/>
      <c r="E44" s="56"/>
      <c r="F44" s="26" t="str">
        <f t="shared" ref="F44" ca="1" si="5">IF(E44&lt;&gt;"",NOW(),"")</f>
        <v/>
      </c>
      <c r="G44" s="69"/>
      <c r="H44" s="74"/>
      <c r="I44" s="67"/>
    </row>
    <row r="45" spans="1:9" x14ac:dyDescent="0.25">
      <c r="A45" s="58"/>
      <c r="B45" s="102" t="str">
        <f>$B$3</f>
        <v>( Add new test case )</v>
      </c>
      <c r="C45" s="99" t="str">
        <f>$C$3</f>
        <v>( Remove previous test result )</v>
      </c>
      <c r="D45" s="103"/>
      <c r="E45" s="244" t="str">
        <f>$E$3</f>
        <v>( Add new test result )</v>
      </c>
      <c r="F45" s="244"/>
      <c r="G45" s="244"/>
      <c r="H45" s="104"/>
      <c r="I45" s="66"/>
    </row>
    <row r="46" spans="1:9" ht="45" x14ac:dyDescent="0.25">
      <c r="A46" s="52">
        <f>IF(AND(B46&lt;&gt;"",C46&lt;&gt;"",LEFT(B46,1)&lt;&gt;"#"),MAX($A$2:A45)+1,"")</f>
        <v>21</v>
      </c>
      <c r="B46" s="19" t="s">
        <v>154</v>
      </c>
      <c r="C46" s="89" t="s">
        <v>11</v>
      </c>
      <c r="D46" s="51"/>
      <c r="E46" s="56"/>
      <c r="F46" s="26" t="str">
        <f t="shared" ref="F46" ca="1" si="6">IF(E46&lt;&gt;"",NOW(),"")</f>
        <v/>
      </c>
      <c r="G46" s="69"/>
      <c r="H46" s="74"/>
      <c r="I46" s="67"/>
    </row>
    <row r="47" spans="1:9" x14ac:dyDescent="0.25">
      <c r="A47" s="58"/>
      <c r="B47" s="102" t="str">
        <f>$B$3</f>
        <v>( Add new test case )</v>
      </c>
      <c r="C47" s="99" t="str">
        <f>$C$3</f>
        <v>( Remove previous test result )</v>
      </c>
      <c r="D47" s="103"/>
      <c r="E47" s="244" t="str">
        <f>$E$3</f>
        <v>( Add new test result )</v>
      </c>
      <c r="F47" s="244"/>
      <c r="G47" s="244"/>
      <c r="H47" s="104"/>
      <c r="I47" s="66"/>
    </row>
    <row r="48" spans="1:9" ht="60" x14ac:dyDescent="0.25">
      <c r="A48" s="52">
        <f>IF(AND(B48&lt;&gt;"",C48&lt;&gt;"",LEFT(B48,1)&lt;&gt;"#"),MAX($A$2:A47)+1,"")</f>
        <v>22</v>
      </c>
      <c r="B48" s="19" t="s">
        <v>501</v>
      </c>
      <c r="C48" s="89" t="s">
        <v>29</v>
      </c>
      <c r="D48" s="51"/>
      <c r="E48" s="56"/>
      <c r="F48" s="26" t="str">
        <f t="shared" ref="F48" ca="1" si="7">IF(E48&lt;&gt;"",NOW(),"")</f>
        <v/>
      </c>
      <c r="G48" s="69"/>
      <c r="H48" s="74"/>
      <c r="I48" s="67"/>
    </row>
    <row r="49" spans="1:9" x14ac:dyDescent="0.25">
      <c r="A49" s="58"/>
      <c r="B49" s="102" t="str">
        <f>$B$3</f>
        <v>( Add new test case )</v>
      </c>
      <c r="C49" s="99" t="str">
        <f>$C$3</f>
        <v>( Remove previous test result )</v>
      </c>
      <c r="D49" s="103"/>
      <c r="E49" s="244" t="str">
        <f>$E$3</f>
        <v>( Add new test result )</v>
      </c>
      <c r="F49" s="244"/>
      <c r="G49" s="244"/>
      <c r="H49" s="104"/>
      <c r="I49" s="66"/>
    </row>
    <row r="50" spans="1:9" ht="105" x14ac:dyDescent="0.25">
      <c r="A50" s="52">
        <f>IF(AND(B50&lt;&gt;"",C50&lt;&gt;"",LEFT(B50,1)&lt;&gt;"#"),MAX($A$2:A49)+1,"")</f>
        <v>23</v>
      </c>
      <c r="B50" s="19" t="s">
        <v>156</v>
      </c>
      <c r="C50" s="89" t="s">
        <v>24</v>
      </c>
      <c r="D50" s="51"/>
      <c r="E50" s="56"/>
      <c r="F50" s="26" t="str">
        <f t="shared" ref="F50" ca="1" si="8">IF(E50&lt;&gt;"",NOW(),"")</f>
        <v/>
      </c>
      <c r="G50" s="69"/>
      <c r="H50" s="74"/>
      <c r="I50" s="67"/>
    </row>
    <row r="51" spans="1:9" x14ac:dyDescent="0.25">
      <c r="A51" s="58"/>
      <c r="B51" s="102" t="str">
        <f>$B$3</f>
        <v>( Add new test case )</v>
      </c>
      <c r="C51" s="99" t="str">
        <f>$C$3</f>
        <v>( Remove previous test result )</v>
      </c>
      <c r="D51" s="103"/>
      <c r="E51" s="244" t="str">
        <f>$E$3</f>
        <v>( Add new test result )</v>
      </c>
      <c r="F51" s="244"/>
      <c r="G51" s="244"/>
      <c r="H51" s="104"/>
      <c r="I51" s="66"/>
    </row>
    <row r="52" spans="1:9" x14ac:dyDescent="0.25">
      <c r="A52" s="52">
        <f>IF(AND(B52&lt;&gt;"",C52&lt;&gt;"",LEFT(B52,1)&lt;&gt;"#"),MAX($A$2:A51)+1,"")</f>
        <v>24</v>
      </c>
      <c r="B52" s="93" t="s">
        <v>212</v>
      </c>
      <c r="C52" s="93" t="s">
        <v>213</v>
      </c>
      <c r="D52" s="51"/>
      <c r="E52" s="56"/>
      <c r="F52" s="26"/>
      <c r="G52" s="69"/>
      <c r="H52" s="74"/>
      <c r="I52" s="247"/>
    </row>
    <row r="53" spans="1:9" x14ac:dyDescent="0.25">
      <c r="A53" s="58"/>
      <c r="B53" s="102" t="str">
        <f>$B$3</f>
        <v>( Add new test case )</v>
      </c>
      <c r="C53" s="99" t="str">
        <f>$C$3</f>
        <v>( Remove previous test result )</v>
      </c>
      <c r="D53" s="103"/>
      <c r="E53" s="244" t="str">
        <f>$E$3</f>
        <v>( Add new test result )</v>
      </c>
      <c r="F53" s="244"/>
      <c r="G53" s="244"/>
      <c r="H53" s="104"/>
      <c r="I53" s="66"/>
    </row>
    <row r="54" spans="1:9" ht="30" x14ac:dyDescent="0.25">
      <c r="A54" s="52">
        <f>IF(AND(B54&lt;&gt;"",C54&lt;&gt;"",LEFT(B54,1)&lt;&gt;"#"),MAX($A$2:A53)+1,"")</f>
        <v>25</v>
      </c>
      <c r="B54" s="97" t="s">
        <v>215</v>
      </c>
      <c r="C54" s="248" t="s">
        <v>216</v>
      </c>
      <c r="D54" s="51"/>
      <c r="E54" s="56"/>
      <c r="F54" s="26"/>
      <c r="G54" s="69"/>
      <c r="H54" s="74"/>
      <c r="I54" s="246"/>
    </row>
    <row r="55" spans="1:9" x14ac:dyDescent="0.25">
      <c r="A55" s="121"/>
      <c r="B55" s="122" t="str">
        <f>$B$3</f>
        <v>( Add new test case )</v>
      </c>
      <c r="C55" s="123" t="str">
        <f>$C$3</f>
        <v>( Remove previous test result )</v>
      </c>
      <c r="D55" s="100"/>
      <c r="E55" s="245" t="str">
        <f>$E$3</f>
        <v>( Add new test result )</v>
      </c>
      <c r="F55" s="245"/>
      <c r="G55" s="245"/>
      <c r="H55" s="101"/>
      <c r="I55" s="83"/>
    </row>
    <row r="56" spans="1:9" ht="15.75" x14ac:dyDescent="0.25">
      <c r="A56" s="124" t="str">
        <f>IF(AND(B56&lt;&gt;"",C56&lt;&gt;"",LEFT(B56,1)&lt;&gt;"#"),MAX(#REF!)+1,"")</f>
        <v/>
      </c>
      <c r="B56" s="150" t="s">
        <v>217</v>
      </c>
      <c r="C56" s="125"/>
      <c r="D56" s="126"/>
      <c r="E56" s="127"/>
      <c r="F56" s="128"/>
      <c r="G56" s="128"/>
      <c r="H56" s="129"/>
      <c r="I56" s="130"/>
    </row>
    <row r="57" spans="1:9" ht="45" x14ac:dyDescent="0.25">
      <c r="A57" s="52">
        <f>IF(AND(B57&lt;&gt;"",C57&lt;&gt;"",LEFT(B57,1)&lt;&gt;"#"),MAX($A$2:A51)+1,"")</f>
        <v>24</v>
      </c>
      <c r="B57" s="14" t="s">
        <v>502</v>
      </c>
      <c r="C57" s="86" t="s">
        <v>219</v>
      </c>
      <c r="D57" s="51"/>
      <c r="E57" s="56"/>
      <c r="F57" s="26"/>
      <c r="G57" s="69"/>
      <c r="H57" s="74"/>
      <c r="I57" s="65"/>
    </row>
    <row r="58" spans="1:9" x14ac:dyDescent="0.25">
      <c r="A58" s="58"/>
      <c r="B58" s="102" t="str">
        <f>$B$3</f>
        <v>( Add new test case )</v>
      </c>
      <c r="C58" s="99" t="str">
        <f>$C$3</f>
        <v>( Remove previous test result )</v>
      </c>
      <c r="D58" s="103"/>
      <c r="E58" s="244" t="str">
        <f>$E$3</f>
        <v>( Add new test result )</v>
      </c>
      <c r="F58" s="244"/>
      <c r="G58" s="244"/>
      <c r="H58" s="104"/>
      <c r="I58" s="66"/>
    </row>
    <row r="59" spans="1:9" ht="60" x14ac:dyDescent="0.25">
      <c r="A59" s="52">
        <f>IF(AND(B59&lt;&gt;"",C59&lt;&gt;"",LEFT(B59,1)&lt;&gt;"#"),MAX($A$2:A58)+1,"")</f>
        <v>26</v>
      </c>
      <c r="B59" s="15" t="s">
        <v>503</v>
      </c>
      <c r="C59" s="87" t="s">
        <v>221</v>
      </c>
      <c r="D59" s="51"/>
      <c r="E59" s="56"/>
      <c r="F59" s="26"/>
      <c r="G59" s="69"/>
      <c r="H59" s="74"/>
      <c r="I59" s="67"/>
    </row>
    <row r="60" spans="1:9" x14ac:dyDescent="0.25">
      <c r="A60" s="58"/>
      <c r="B60" s="102" t="str">
        <f>$B$3</f>
        <v>( Add new test case )</v>
      </c>
      <c r="C60" s="99" t="str">
        <f>$C$3</f>
        <v>( Remove previous test result )</v>
      </c>
      <c r="D60" s="103"/>
      <c r="E60" s="244" t="str">
        <f>$E$3</f>
        <v>( Add new test result )</v>
      </c>
      <c r="F60" s="244"/>
      <c r="G60" s="244"/>
      <c r="H60" s="104"/>
      <c r="I60" s="66"/>
    </row>
    <row r="61" spans="1:9" ht="45" x14ac:dyDescent="0.25">
      <c r="A61" s="52">
        <f>IF(AND(B61&lt;&gt;"",C61&lt;&gt;"",LEFT(B61,1)&lt;&gt;"#"),MAX($A$2:A60)+1,"")</f>
        <v>27</v>
      </c>
      <c r="B61" s="15" t="s">
        <v>504</v>
      </c>
      <c r="C61" s="87" t="s">
        <v>223</v>
      </c>
      <c r="D61" s="51"/>
      <c r="E61" s="56"/>
      <c r="F61" s="118" t="str">
        <f t="shared" ref="F61" ca="1" si="9">IF(E61&lt;&gt;"",NOW(),"")</f>
        <v/>
      </c>
      <c r="G61" s="69"/>
      <c r="H61" s="74"/>
      <c r="I61" s="67"/>
    </row>
    <row r="62" spans="1:9" x14ac:dyDescent="0.25">
      <c r="A62" s="58"/>
      <c r="B62" s="102" t="str">
        <f>$B$3</f>
        <v>( Add new test case )</v>
      </c>
      <c r="C62" s="99" t="str">
        <f>$C$3</f>
        <v>( Remove previous test result )</v>
      </c>
      <c r="D62" s="103"/>
      <c r="E62" s="244" t="str">
        <f>$E$3</f>
        <v>( Add new test result )</v>
      </c>
      <c r="F62" s="244"/>
      <c r="G62" s="244"/>
      <c r="H62" s="104"/>
      <c r="I62" s="66"/>
    </row>
    <row r="63" spans="1:9" ht="30" x14ac:dyDescent="0.25">
      <c r="A63" s="52">
        <f>IF(AND(B63&lt;&gt;"",C63&lt;&gt;"",LEFT(B63,1)&lt;&gt;"#"),MAX($A$2:A62)+1,"")</f>
        <v>28</v>
      </c>
      <c r="B63" s="15" t="s">
        <v>158</v>
      </c>
      <c r="C63" s="87" t="s">
        <v>224</v>
      </c>
      <c r="D63" s="51"/>
      <c r="E63" s="56"/>
      <c r="F63" s="26" t="str">
        <f t="shared" ref="F63" ca="1" si="10">IF(E63&lt;&gt;"",NOW(),"")</f>
        <v/>
      </c>
      <c r="G63" s="69"/>
      <c r="H63" s="74"/>
      <c r="I63" s="120"/>
    </row>
    <row r="64" spans="1:9" x14ac:dyDescent="0.25">
      <c r="A64" s="58"/>
      <c r="B64" s="102" t="str">
        <f>$B$3</f>
        <v>( Add new test case )</v>
      </c>
      <c r="C64" s="99" t="str">
        <f>$C$3</f>
        <v>( Remove previous test result )</v>
      </c>
      <c r="D64" s="103"/>
      <c r="E64" s="244" t="str">
        <f>$E$3</f>
        <v>( Add new test result )</v>
      </c>
      <c r="F64" s="244"/>
      <c r="G64" s="244"/>
      <c r="H64" s="104"/>
      <c r="I64" s="119"/>
    </row>
    <row r="65" spans="1:9" ht="30" x14ac:dyDescent="0.25">
      <c r="A65" s="52">
        <f>IF(AND(B65&lt;&gt;"",C65&lt;&gt;"",LEFT(B65,1)&lt;&gt;"#"),MAX($A$2:A64)+1,"")</f>
        <v>29</v>
      </c>
      <c r="B65" s="15" t="s">
        <v>160</v>
      </c>
      <c r="C65" s="87" t="s">
        <v>12</v>
      </c>
      <c r="D65" s="51"/>
      <c r="E65" s="56"/>
      <c r="F65" s="26" t="str">
        <f t="shared" ref="F65" ca="1" si="11">IF(E65&lt;&gt;"",NOW(),"")</f>
        <v/>
      </c>
      <c r="G65" s="69"/>
      <c r="H65" s="74"/>
      <c r="I65" s="246"/>
    </row>
    <row r="66" spans="1:9" x14ac:dyDescent="0.25">
      <c r="A66" s="58"/>
      <c r="B66" s="102" t="str">
        <f>$B$3</f>
        <v>( Add new test case )</v>
      </c>
      <c r="C66" s="99" t="str">
        <f>$C$3</f>
        <v>( Remove previous test result )</v>
      </c>
      <c r="D66" s="103"/>
      <c r="E66" s="244" t="str">
        <f>$E$3</f>
        <v>( Add new test result )</v>
      </c>
      <c r="F66" s="244"/>
      <c r="G66" s="244"/>
      <c r="H66" s="104"/>
      <c r="I66" s="66"/>
    </row>
    <row r="67" spans="1:9" ht="45" x14ac:dyDescent="0.25">
      <c r="A67" s="52">
        <f>IF(AND(B67&lt;&gt;"",C67&lt;&gt;"",LEFT(B67,1)&lt;&gt;"#"),MAX($A$2:A66)+1,"")</f>
        <v>30</v>
      </c>
      <c r="B67" s="15" t="s">
        <v>505</v>
      </c>
      <c r="C67" s="87" t="s">
        <v>225</v>
      </c>
      <c r="D67" s="51"/>
      <c r="E67" s="56"/>
      <c r="F67" s="26" t="str">
        <f t="shared" ref="F67" ca="1" si="12">IF(E67&lt;&gt;"",NOW(),"")</f>
        <v/>
      </c>
      <c r="G67" s="69"/>
      <c r="H67" s="74"/>
      <c r="I67" s="67"/>
    </row>
    <row r="68" spans="1:9" x14ac:dyDescent="0.25">
      <c r="A68" s="58"/>
      <c r="B68" s="102" t="str">
        <f>$B$3</f>
        <v>( Add new test case )</v>
      </c>
      <c r="C68" s="99" t="str">
        <f>$C$3</f>
        <v>( Remove previous test result )</v>
      </c>
      <c r="D68" s="103"/>
      <c r="E68" s="244" t="str">
        <f>$E$3</f>
        <v>( Add new test result )</v>
      </c>
      <c r="F68" s="244"/>
      <c r="G68" s="244"/>
      <c r="H68" s="104"/>
      <c r="I68" s="66"/>
    </row>
    <row r="69" spans="1:9" ht="60" x14ac:dyDescent="0.25">
      <c r="A69" s="52">
        <f>IF(AND(B69&lt;&gt;"",C69&lt;&gt;"",LEFT(B69,1)&lt;&gt;"#"),MAX($A$2:A68)+1,"")</f>
        <v>31</v>
      </c>
      <c r="B69" s="15" t="s">
        <v>506</v>
      </c>
      <c r="C69" s="87" t="s">
        <v>226</v>
      </c>
      <c r="D69" s="51"/>
      <c r="E69" s="56"/>
      <c r="F69" s="26"/>
      <c r="G69" s="69"/>
      <c r="H69" s="74"/>
      <c r="I69" s="67"/>
    </row>
    <row r="70" spans="1:9" x14ac:dyDescent="0.25">
      <c r="A70" s="58"/>
      <c r="B70" s="102" t="str">
        <f>$B$3</f>
        <v>( Add new test case )</v>
      </c>
      <c r="C70" s="99" t="str">
        <f>$C$3</f>
        <v>( Remove previous test result )</v>
      </c>
      <c r="D70" s="103"/>
      <c r="E70" s="244" t="str">
        <f>$E$3</f>
        <v>( Add new test result )</v>
      </c>
      <c r="F70" s="244"/>
      <c r="G70" s="244"/>
      <c r="H70" s="104"/>
      <c r="I70" s="66"/>
    </row>
    <row r="71" spans="1:9" ht="30" x14ac:dyDescent="0.25">
      <c r="A71" s="52">
        <f>IF(AND(B71&lt;&gt;"",C71&lt;&gt;"",LEFT(B71,1)&lt;&gt;"#"),MAX($A$2:A65)+1,"")</f>
        <v>30</v>
      </c>
      <c r="B71" s="93" t="s">
        <v>227</v>
      </c>
      <c r="C71" s="93" t="s">
        <v>228</v>
      </c>
      <c r="D71" s="51"/>
      <c r="E71" s="56"/>
      <c r="F71" s="26"/>
      <c r="G71" s="69"/>
      <c r="H71" s="74"/>
      <c r="I71" s="80"/>
    </row>
    <row r="72" spans="1:9" x14ac:dyDescent="0.25">
      <c r="A72" s="58"/>
      <c r="B72" s="102" t="str">
        <f>$B$3</f>
        <v>( Add new test case )</v>
      </c>
      <c r="C72" s="99" t="str">
        <f>$C$3</f>
        <v>( Remove previous test result )</v>
      </c>
      <c r="D72" s="103"/>
      <c r="E72" s="244" t="str">
        <f>$E$3</f>
        <v>( Add new test result )</v>
      </c>
      <c r="F72" s="244"/>
      <c r="G72" s="244"/>
      <c r="H72" s="104"/>
      <c r="I72" s="66"/>
    </row>
    <row r="73" spans="1:9" ht="30" x14ac:dyDescent="0.25">
      <c r="A73" s="78">
        <f>IF(AND(B73&lt;&gt;"",C73&lt;&gt;"",LEFT(B73,1)&lt;&gt;"#"),MAX($A$2:A72)+1,"")</f>
        <v>32</v>
      </c>
      <c r="B73" s="249" t="s">
        <v>229</v>
      </c>
      <c r="C73" s="250" t="s">
        <v>230</v>
      </c>
      <c r="D73" s="51"/>
      <c r="E73" s="131"/>
      <c r="F73" s="132"/>
      <c r="G73" s="133"/>
      <c r="H73" s="134"/>
      <c r="I73" s="251" t="s">
        <v>231</v>
      </c>
    </row>
    <row r="74" spans="1:9" x14ac:dyDescent="0.25">
      <c r="A74" s="58"/>
      <c r="B74" s="102" t="str">
        <f>$B$3</f>
        <v>( Add new test case )</v>
      </c>
      <c r="C74" s="99" t="str">
        <f>$C$3</f>
        <v>( Remove previous test result )</v>
      </c>
      <c r="D74" s="103"/>
      <c r="E74" s="244" t="str">
        <f>$E$3</f>
        <v>( Add new test result )</v>
      </c>
      <c r="F74" s="244"/>
      <c r="G74" s="244"/>
      <c r="H74" s="104"/>
      <c r="I74" s="66"/>
    </row>
    <row r="75" spans="1:9" ht="15.75" x14ac:dyDescent="0.25">
      <c r="A75" s="124" t="str">
        <f>IF(AND(B75&lt;&gt;"",C75&lt;&gt;"",LEFT(B75,1)&lt;&gt;"#"),MAX(#REF!)+1,"")</f>
        <v/>
      </c>
      <c r="B75" s="150" t="s">
        <v>68</v>
      </c>
      <c r="C75" s="125"/>
      <c r="D75" s="126"/>
      <c r="E75" s="127"/>
      <c r="F75" s="128"/>
      <c r="G75" s="128"/>
      <c r="H75" s="129"/>
      <c r="I75" s="130"/>
    </row>
    <row r="76" spans="1:9" ht="75" x14ac:dyDescent="0.25">
      <c r="A76" s="52">
        <f>IF(AND(B76&lt;&gt;"",C76&lt;&gt;"",LEFT(B76,1)&lt;&gt;"#"),MAX($A$2:A75)+1,"")</f>
        <v>33</v>
      </c>
      <c r="B76" s="20" t="s">
        <v>164</v>
      </c>
      <c r="C76" s="90" t="s">
        <v>13</v>
      </c>
      <c r="D76" s="51"/>
      <c r="E76" s="56"/>
      <c r="F76" s="26" t="str">
        <f t="shared" ref="F76" ca="1" si="13">IF(E76&lt;&gt;"",NOW(),"")</f>
        <v/>
      </c>
      <c r="G76" s="69"/>
      <c r="H76" s="74"/>
      <c r="I76" s="252"/>
    </row>
    <row r="77" spans="1:9" x14ac:dyDescent="0.25">
      <c r="A77" s="58"/>
      <c r="B77" s="102" t="str">
        <f>$B$3</f>
        <v>( Add new test case )</v>
      </c>
      <c r="C77" s="99" t="str">
        <f>$C$3</f>
        <v>( Remove previous test result )</v>
      </c>
      <c r="D77" s="103"/>
      <c r="E77" s="244" t="str">
        <f>$E$3</f>
        <v>( Add new test result )</v>
      </c>
      <c r="F77" s="244"/>
      <c r="G77" s="244"/>
      <c r="H77" s="104"/>
      <c r="I77" s="66"/>
    </row>
    <row r="78" spans="1:9" ht="30" x14ac:dyDescent="0.25">
      <c r="A78" s="52">
        <f>IF(AND(B78&lt;&gt;"",C78&lt;&gt;"",LEFT(B78,1)&lt;&gt;"#"),MAX($A$2:A77)+1,"")</f>
        <v>34</v>
      </c>
      <c r="B78" s="21" t="s">
        <v>507</v>
      </c>
      <c r="C78" s="91" t="s">
        <v>19</v>
      </c>
      <c r="D78" s="51"/>
      <c r="E78" s="56"/>
      <c r="F78" s="26" t="str">
        <f t="shared" ref="F78" ca="1" si="14">IF(E78&lt;&gt;"",NOW(),"")</f>
        <v/>
      </c>
      <c r="G78" s="69"/>
      <c r="H78" s="74"/>
      <c r="I78" s="67"/>
    </row>
    <row r="79" spans="1:9" x14ac:dyDescent="0.25">
      <c r="A79" s="58"/>
      <c r="B79" s="102" t="str">
        <f>$B$3</f>
        <v>( Add new test case )</v>
      </c>
      <c r="C79" s="99" t="str">
        <f>$C$3</f>
        <v>( Remove previous test result )</v>
      </c>
      <c r="D79" s="103"/>
      <c r="E79" s="244" t="str">
        <f>$E$3</f>
        <v>( Add new test result )</v>
      </c>
      <c r="F79" s="244"/>
      <c r="G79" s="244"/>
      <c r="H79" s="104"/>
      <c r="I79" s="66"/>
    </row>
    <row r="80" spans="1:9" ht="45" x14ac:dyDescent="0.25">
      <c r="A80" s="52">
        <f>IF(AND(B80&lt;&gt;"",C80&lt;&gt;"",LEFT(B80,1)&lt;&gt;"#"),MAX($A$2:A79)+1,"")</f>
        <v>35</v>
      </c>
      <c r="B80" s="21" t="s">
        <v>166</v>
      </c>
      <c r="C80" s="91" t="s">
        <v>14</v>
      </c>
      <c r="D80" s="51"/>
      <c r="E80" s="56"/>
      <c r="F80" s="26" t="str">
        <f t="shared" ref="F80" ca="1" si="15">IF(E80&lt;&gt;"",NOW(),"")</f>
        <v/>
      </c>
      <c r="G80" s="69"/>
      <c r="H80" s="74"/>
      <c r="I80" s="67"/>
    </row>
    <row r="81" spans="1:9" x14ac:dyDescent="0.25">
      <c r="A81" s="58"/>
      <c r="B81" s="102" t="str">
        <f>$B$3</f>
        <v>( Add new test case )</v>
      </c>
      <c r="C81" s="99" t="str">
        <f>$C$3</f>
        <v>( Remove previous test result )</v>
      </c>
      <c r="D81" s="103"/>
      <c r="E81" s="244" t="str">
        <f>$E$3</f>
        <v>( Add new test result )</v>
      </c>
      <c r="F81" s="244"/>
      <c r="G81" s="244"/>
      <c r="H81" s="104"/>
      <c r="I81" s="66"/>
    </row>
    <row r="82" spans="1:9" ht="30" x14ac:dyDescent="0.25">
      <c r="A82" s="52">
        <f>IF(AND(B82&lt;&gt;"",C82&lt;&gt;"",LEFT(B82,1)&lt;&gt;"#"),MAX($A$2:A81)+1,"")</f>
        <v>36</v>
      </c>
      <c r="B82" s="21" t="s">
        <v>167</v>
      </c>
      <c r="C82" s="91" t="s">
        <v>15</v>
      </c>
      <c r="D82" s="51"/>
      <c r="E82" s="56"/>
      <c r="F82" s="26" t="str">
        <f t="shared" ref="F82" ca="1" si="16">IF(E82&lt;&gt;"",NOW(),"")</f>
        <v/>
      </c>
      <c r="G82" s="69"/>
      <c r="H82" s="74"/>
      <c r="I82" s="67"/>
    </row>
    <row r="83" spans="1:9" x14ac:dyDescent="0.25">
      <c r="A83" s="58"/>
      <c r="B83" s="102" t="str">
        <f>$B$3</f>
        <v>( Add new test case )</v>
      </c>
      <c r="C83" s="99" t="str">
        <f>$C$3</f>
        <v>( Remove previous test result )</v>
      </c>
      <c r="D83" s="103"/>
      <c r="E83" s="244" t="str">
        <f>$E$3</f>
        <v>( Add new test result )</v>
      </c>
      <c r="F83" s="244"/>
      <c r="G83" s="244"/>
      <c r="H83" s="104"/>
      <c r="I83" s="66"/>
    </row>
    <row r="84" spans="1:9" ht="45" x14ac:dyDescent="0.25">
      <c r="A84" s="52">
        <f>IF(AND(B84&lt;&gt;"",C84&lt;&gt;"",LEFT(B84,1)&lt;&gt;"#"),MAX($A$2:A83)+1,"")</f>
        <v>37</v>
      </c>
      <c r="B84" s="21" t="s">
        <v>168</v>
      </c>
      <c r="C84" s="91" t="s">
        <v>16</v>
      </c>
      <c r="D84" s="51"/>
      <c r="E84" s="56"/>
      <c r="F84" s="26"/>
      <c r="G84" s="69"/>
      <c r="H84" s="74"/>
      <c r="I84" s="81"/>
    </row>
    <row r="85" spans="1:9" x14ac:dyDescent="0.25">
      <c r="A85" s="58"/>
      <c r="B85" s="102" t="str">
        <f>$B$3</f>
        <v>( Add new test case )</v>
      </c>
      <c r="C85" s="99" t="str">
        <f>$C$3</f>
        <v>( Remove previous test result )</v>
      </c>
      <c r="D85" s="103"/>
      <c r="E85" s="244" t="str">
        <f>$E$3</f>
        <v>( Add new test result )</v>
      </c>
      <c r="F85" s="244"/>
      <c r="G85" s="244"/>
      <c r="H85" s="104"/>
      <c r="I85" s="66"/>
    </row>
    <row r="86" spans="1:9" ht="45" x14ac:dyDescent="0.25">
      <c r="A86" s="52">
        <f>IF(AND(B86&lt;&gt;"",C86&lt;&gt;"",LEFT(B86,1)&lt;&gt;"#"),MAX($A$2:A80)+1,"")</f>
        <v>36</v>
      </c>
      <c r="B86" s="21" t="s">
        <v>169</v>
      </c>
      <c r="C86" s="91" t="s">
        <v>17</v>
      </c>
      <c r="D86" s="51"/>
      <c r="E86" s="56"/>
      <c r="F86" s="26"/>
      <c r="G86" s="69"/>
      <c r="H86" s="74"/>
      <c r="I86" s="67"/>
    </row>
    <row r="87" spans="1:9" x14ac:dyDescent="0.25">
      <c r="A87" s="58"/>
      <c r="B87" s="102" t="str">
        <f>$B$3</f>
        <v>( Add new test case )</v>
      </c>
      <c r="C87" s="99" t="str">
        <f>$C$3</f>
        <v>( Remove previous test result )</v>
      </c>
      <c r="D87" s="103"/>
      <c r="E87" s="244" t="str">
        <f>$E$3</f>
        <v>( Add new test result )</v>
      </c>
      <c r="F87" s="244"/>
      <c r="G87" s="244"/>
      <c r="H87" s="104"/>
      <c r="I87" s="66"/>
    </row>
    <row r="88" spans="1:9" ht="45" x14ac:dyDescent="0.25">
      <c r="A88" s="52">
        <f>IF(AND(B88&lt;&gt;"",C88&lt;&gt;"",LEFT(B88,1)&lt;&gt;"#"),MAX($A$2:A87)+1,"")</f>
        <v>38</v>
      </c>
      <c r="B88" s="21" t="s">
        <v>51</v>
      </c>
      <c r="C88" s="91" t="s">
        <v>18</v>
      </c>
      <c r="D88" s="51"/>
      <c r="E88" s="56"/>
      <c r="F88" s="26"/>
      <c r="G88" s="69"/>
      <c r="H88" s="74"/>
      <c r="I88" s="67"/>
    </row>
    <row r="89" spans="1:9" x14ac:dyDescent="0.25">
      <c r="A89" s="58"/>
      <c r="B89" s="102" t="str">
        <f>$B$3</f>
        <v>( Add new test case )</v>
      </c>
      <c r="C89" s="99" t="str">
        <f>$C$3</f>
        <v>( Remove previous test result )</v>
      </c>
      <c r="D89" s="103"/>
      <c r="E89" s="244" t="str">
        <f>$E$3</f>
        <v>( Add new test result )</v>
      </c>
      <c r="F89" s="244"/>
      <c r="G89" s="244"/>
      <c r="H89" s="104"/>
      <c r="I89" s="66"/>
    </row>
    <row r="90" spans="1:9" ht="15.75" x14ac:dyDescent="0.25">
      <c r="A90" s="124" t="str">
        <f>IF(AND(B90&lt;&gt;"",C90&lt;&gt;"",LEFT(B90,1)&lt;&gt;"#"),MAX(#REF!)+1,"")</f>
        <v/>
      </c>
      <c r="B90" s="150" t="s">
        <v>175</v>
      </c>
      <c r="C90" s="125"/>
      <c r="D90" s="126"/>
      <c r="E90" s="127"/>
      <c r="F90" s="128"/>
      <c r="G90" s="128"/>
      <c r="H90" s="129"/>
      <c r="I90" s="130"/>
    </row>
    <row r="91" spans="1:9" ht="30" x14ac:dyDescent="0.25">
      <c r="A91" s="52">
        <f>IF(AND(B91&lt;&gt;"",C91&lt;&gt;"",LEFT(B91,1)&lt;&gt;"#"),MAX($A$2:A89)+1,"")</f>
        <v>39</v>
      </c>
      <c r="B91" s="14" t="s">
        <v>508</v>
      </c>
      <c r="C91" s="86" t="s">
        <v>25</v>
      </c>
      <c r="D91" s="51"/>
      <c r="E91" s="56"/>
      <c r="F91" s="26" t="str">
        <f t="shared" ref="F91" ca="1" si="17">IF(E91&lt;&gt;"",NOW(),"")</f>
        <v/>
      </c>
      <c r="G91" s="69"/>
      <c r="H91" s="74"/>
      <c r="I91" s="65"/>
    </row>
    <row r="92" spans="1:9" x14ac:dyDescent="0.25">
      <c r="A92" s="58"/>
      <c r="B92" s="102" t="str">
        <f>$B$3</f>
        <v>( Add new test case )</v>
      </c>
      <c r="C92" s="99" t="str">
        <f>$C$3</f>
        <v>( Remove previous test result )</v>
      </c>
      <c r="D92" s="103"/>
      <c r="E92" s="244" t="str">
        <f>$E$3</f>
        <v>( Add new test result )</v>
      </c>
      <c r="F92" s="244"/>
      <c r="G92" s="244"/>
      <c r="H92" s="104"/>
      <c r="I92" s="66"/>
    </row>
    <row r="93" spans="1:9" ht="30" x14ac:dyDescent="0.25">
      <c r="A93" s="52">
        <f>IF(AND(B93&lt;&gt;"",C93&lt;&gt;"",LEFT(B93,1)&lt;&gt;"#"),MAX($A$2:A92)+1,"")</f>
        <v>40</v>
      </c>
      <c r="B93" s="15" t="s">
        <v>176</v>
      </c>
      <c r="C93" s="87" t="s">
        <v>20</v>
      </c>
      <c r="D93" s="51"/>
      <c r="E93" s="56"/>
      <c r="F93" s="26" t="str">
        <f t="shared" ref="F93" ca="1" si="18">IF(E93&lt;&gt;"",NOW(),"")</f>
        <v/>
      </c>
      <c r="G93" s="69"/>
      <c r="H93" s="74"/>
      <c r="I93" s="67"/>
    </row>
    <row r="94" spans="1:9" x14ac:dyDescent="0.25">
      <c r="A94" s="58"/>
      <c r="B94" s="102" t="str">
        <f>$B$3</f>
        <v>( Add new test case )</v>
      </c>
      <c r="C94" s="99" t="str">
        <f>$C$3</f>
        <v>( Remove previous test result )</v>
      </c>
      <c r="D94" s="103"/>
      <c r="E94" s="244" t="str">
        <f>$E$3</f>
        <v>( Add new test result )</v>
      </c>
      <c r="F94" s="244"/>
      <c r="G94" s="244"/>
      <c r="H94" s="104"/>
      <c r="I94" s="66"/>
    </row>
    <row r="95" spans="1:9" ht="60" x14ac:dyDescent="0.25">
      <c r="A95" s="52">
        <f>IF(AND(B95&lt;&gt;"",C95&lt;&gt;"",LEFT(B95,1)&lt;&gt;"#"),MAX($A$2:A94)+1,"")</f>
        <v>41</v>
      </c>
      <c r="B95" s="15" t="s">
        <v>177</v>
      </c>
      <c r="C95" s="87" t="s">
        <v>30</v>
      </c>
      <c r="D95" s="51"/>
      <c r="E95" s="56"/>
      <c r="F95" s="26" t="str">
        <f t="shared" ref="F95" ca="1" si="19">IF(E95&lt;&gt;"",NOW(),"")</f>
        <v/>
      </c>
      <c r="G95" s="69"/>
      <c r="H95" s="74"/>
      <c r="I95" s="67"/>
    </row>
    <row r="96" spans="1:9" x14ac:dyDescent="0.25">
      <c r="A96" s="58"/>
      <c r="B96" s="102" t="str">
        <f>$B$3</f>
        <v>( Add new test case )</v>
      </c>
      <c r="C96" s="99" t="str">
        <f>$C$3</f>
        <v>( Remove previous test result )</v>
      </c>
      <c r="D96" s="103"/>
      <c r="E96" s="244" t="str">
        <f>$E$3</f>
        <v>( Add new test result )</v>
      </c>
      <c r="F96" s="244"/>
      <c r="G96" s="244"/>
      <c r="H96" s="104"/>
      <c r="I96" s="66"/>
    </row>
    <row r="97" spans="1:9" ht="45" x14ac:dyDescent="0.25">
      <c r="A97" s="52">
        <f>IF(AND(B97&lt;&gt;"",C97&lt;&gt;"",LEFT(B97,1)&lt;&gt;"#"),MAX($A$2:A96)+1,"")</f>
        <v>42</v>
      </c>
      <c r="B97" s="15" t="s">
        <v>178</v>
      </c>
      <c r="C97" s="87" t="s">
        <v>21</v>
      </c>
      <c r="D97" s="51"/>
      <c r="E97" s="56"/>
      <c r="F97" s="26"/>
      <c r="G97" s="69"/>
      <c r="H97" s="74"/>
      <c r="I97" s="246" t="s">
        <v>235</v>
      </c>
    </row>
    <row r="98" spans="1:9" x14ac:dyDescent="0.25">
      <c r="A98" s="58"/>
      <c r="B98" s="102" t="str">
        <f>$B$3</f>
        <v>( Add new test case )</v>
      </c>
      <c r="C98" s="99" t="str">
        <f>$C$3</f>
        <v>( Remove previous test result )</v>
      </c>
      <c r="D98" s="103"/>
      <c r="E98" s="244" t="str">
        <f>$E$3</f>
        <v>( Add new test result )</v>
      </c>
      <c r="F98" s="244"/>
      <c r="G98" s="244"/>
      <c r="H98" s="104"/>
      <c r="I98" s="66"/>
    </row>
    <row r="99" spans="1:9" ht="60" x14ac:dyDescent="0.25">
      <c r="A99" s="52">
        <f>IF(AND(B99&lt;&gt;"",C99&lt;&gt;"",LEFT(B99,1)&lt;&gt;"#"),MAX($A$2:A93)+1,"")</f>
        <v>41</v>
      </c>
      <c r="B99" s="15" t="s">
        <v>509</v>
      </c>
      <c r="C99" s="87" t="s">
        <v>63</v>
      </c>
      <c r="D99" s="154"/>
      <c r="E99" s="56"/>
      <c r="F99" s="26"/>
      <c r="G99" s="69"/>
      <c r="H99" s="74"/>
      <c r="I99" s="67"/>
    </row>
    <row r="100" spans="1:9" x14ac:dyDescent="0.25">
      <c r="A100" s="121"/>
      <c r="B100" s="122" t="str">
        <f>$B$3</f>
        <v>( Add new test case )</v>
      </c>
      <c r="C100" s="123" t="str">
        <f>$C$3</f>
        <v>( Remove previous test result )</v>
      </c>
      <c r="D100" s="103"/>
      <c r="E100" s="244" t="str">
        <f>$E$3</f>
        <v>( Add new test result )</v>
      </c>
      <c r="F100" s="244"/>
      <c r="G100" s="244"/>
      <c r="H100" s="104"/>
      <c r="I100" s="83"/>
    </row>
    <row r="101" spans="1:9" ht="15.75" x14ac:dyDescent="0.25">
      <c r="A101" s="124" t="str">
        <f>IF(AND(B101&lt;&gt;"",C101&lt;&gt;"",LEFT(B101,1)&lt;&gt;"#"),MAX($A$2:A27)+1,"")</f>
        <v/>
      </c>
      <c r="B101" s="151" t="s">
        <v>474</v>
      </c>
      <c r="C101" s="125"/>
      <c r="D101" s="126"/>
      <c r="E101" s="127"/>
      <c r="F101" s="128"/>
      <c r="G101" s="128"/>
      <c r="H101" s="129"/>
      <c r="I101" s="130"/>
    </row>
    <row r="102" spans="1:9" ht="30" x14ac:dyDescent="0.25">
      <c r="A102" s="53" t="str">
        <f>IF(AND(B102&lt;&gt;"",C102&lt;&gt;"",LEFT(B102,1)&lt;&gt;"#"),MAX($A$2:A101)+1,"")</f>
        <v/>
      </c>
      <c r="B102" s="14" t="s">
        <v>510</v>
      </c>
      <c r="C102" s="14" t="s">
        <v>32</v>
      </c>
      <c r="D102" s="51"/>
      <c r="E102" s="56"/>
      <c r="F102" s="26" t="str">
        <f t="shared" ref="F102" ca="1" si="20">IF(E102&lt;&gt;"",NOW(),"")</f>
        <v/>
      </c>
      <c r="G102" s="69"/>
      <c r="H102" s="74"/>
      <c r="I102" s="68"/>
    </row>
    <row r="103" spans="1:9" x14ac:dyDescent="0.25">
      <c r="A103" s="121"/>
      <c r="B103" s="122" t="str">
        <f>$B$3</f>
        <v>( Add new test case )</v>
      </c>
      <c r="C103" s="123" t="str">
        <f>$C$3</f>
        <v>( Remove previous test result )</v>
      </c>
      <c r="D103" s="103"/>
      <c r="E103" s="244" t="str">
        <f>$E$3</f>
        <v>( Add new test result )</v>
      </c>
      <c r="F103" s="244"/>
      <c r="G103" s="244"/>
      <c r="H103" s="104"/>
      <c r="I103" s="83"/>
    </row>
    <row r="104" spans="1:9" ht="15.75" x14ac:dyDescent="0.25">
      <c r="A104" s="124" t="str">
        <f>IF(AND(B104&lt;&gt;"",C104&lt;&gt;"",LEFT(B104,1)&lt;&gt;"#"),MAX($A$2:A103)+1,"")</f>
        <v/>
      </c>
      <c r="B104" s="150" t="s">
        <v>69</v>
      </c>
      <c r="C104" s="125"/>
      <c r="D104" s="126"/>
      <c r="E104" s="127"/>
      <c r="F104" s="128"/>
      <c r="G104" s="128"/>
      <c r="H104" s="129"/>
      <c r="I104" s="130"/>
    </row>
    <row r="105" spans="1:9" ht="30" x14ac:dyDescent="0.25">
      <c r="A105" s="53" t="str">
        <f>IF(AND(B105&lt;&gt;"",C105&lt;&gt;"",LEFT(B105,1)&lt;&gt;"#"),MAX($A$2:A104)+1,"")</f>
        <v/>
      </c>
      <c r="B105" s="14" t="s">
        <v>511</v>
      </c>
      <c r="C105" s="14" t="s">
        <v>32</v>
      </c>
      <c r="D105" s="51"/>
      <c r="E105" s="56"/>
      <c r="F105" s="26"/>
      <c r="G105" s="69"/>
      <c r="H105" s="74"/>
      <c r="I105" s="68"/>
    </row>
    <row r="106" spans="1:9" x14ac:dyDescent="0.25">
      <c r="A106" s="58"/>
      <c r="B106" s="102" t="str">
        <f>$B$3</f>
        <v>( Add new test case )</v>
      </c>
      <c r="C106" s="99" t="str">
        <f>$C$3</f>
        <v>( Remove previous test result )</v>
      </c>
      <c r="D106" s="103"/>
      <c r="E106" s="244" t="str">
        <f>$E$3</f>
        <v>( Add new test result )</v>
      </c>
      <c r="F106" s="244"/>
      <c r="G106" s="244"/>
      <c r="H106" s="104"/>
      <c r="I106" s="66"/>
    </row>
  </sheetData>
  <sheetProtection algorithmName="SHA-512" hashValue="cDyjDQ4hn8skHeDRtRWTlebc8OtcNWPENw/kbQ1+WmkFN9p50XRV58NK70EO9XqHFW7nIsuP1NJxSXv0j5KvzA==" saltValue="TqgBn3rVRWpEiqVXYF+9Pw==" spinCount="100000" sheet="1" objects="1" scenarios="1" selectLockedCells="1" sort="0" autoFilter="0"/>
  <protectedRanges>
    <protectedRange password="DDDF" sqref="A1:XFD4 A108:XFD1048576" name="courseadmin" securityDescriptor="O:WDG:WDD:(A;;CC;;;S-1-5-21-1065746463-197919211-1947940980-1133)(A;;CC;;;S-1-5-21-1065746463-197919211-1947940980-1272)(A;;CC;;;S-1-5-21-1065746463-197919211-1947940980-1303)(A;;CC;;;S-1-5-21-1065746463-197919211-1947940980-1127)"/>
    <protectedRange password="DDDF" sqref="A5:XFD107"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78" priority="15" stopIfTrue="1">
      <formula>LEFT($D5,1)="W"</formula>
    </cfRule>
  </conditionalFormatting>
  <conditionalFormatting sqref="D105 D102">
    <cfRule type="expression" dxfId="77" priority="14" stopIfTrue="1">
      <formula>LEFT($D102,1)="W"</formula>
    </cfRule>
  </conditionalFormatting>
  <conditionalFormatting sqref="D7">
    <cfRule type="expression" dxfId="76" priority="13" stopIfTrue="1">
      <formula>LEFT($D7,1)="W"</formula>
    </cfRule>
  </conditionalFormatting>
  <conditionalFormatting sqref="D28 D25 D23 D21 D19 D17 D15 D11 D9">
    <cfRule type="expression" dxfId="75" priority="12" stopIfTrue="1">
      <formula>LEFT($D9,1)="W"</formula>
    </cfRule>
  </conditionalFormatting>
  <conditionalFormatting sqref="D40 D38 D36 D34 D32 D30">
    <cfRule type="expression" dxfId="74" priority="11" stopIfTrue="1">
      <formula>LEFT($D30,1)="W"</formula>
    </cfRule>
  </conditionalFormatting>
  <conditionalFormatting sqref="D69 D67 D65 D63 D61 D59">
    <cfRule type="expression" dxfId="73" priority="9" stopIfTrue="1">
      <formula>LEFT($D59,1)="W"</formula>
    </cfRule>
  </conditionalFormatting>
  <conditionalFormatting sqref="D57 D50 D48 D46 D44 D42">
    <cfRule type="expression" dxfId="72" priority="10" stopIfTrue="1">
      <formula>LEFT($D42,1)="W"</formula>
    </cfRule>
  </conditionalFormatting>
  <conditionalFormatting sqref="D13">
    <cfRule type="expression" dxfId="71" priority="8" stopIfTrue="1">
      <formula>LEFT($D13,1)="W"</formula>
    </cfRule>
  </conditionalFormatting>
  <conditionalFormatting sqref="D52">
    <cfRule type="expression" dxfId="70" priority="7" stopIfTrue="1">
      <formula>LEFT($D52,1)="W"</formula>
    </cfRule>
  </conditionalFormatting>
  <conditionalFormatting sqref="D54">
    <cfRule type="expression" dxfId="69" priority="6" stopIfTrue="1">
      <formula>LEFT($D54,1)="W"</formula>
    </cfRule>
  </conditionalFormatting>
  <conditionalFormatting sqref="D84 D82 D80 D78 D76 D73">
    <cfRule type="expression" dxfId="68" priority="4" stopIfTrue="1">
      <formula>LEFT($D73,1)="W"</formula>
    </cfRule>
  </conditionalFormatting>
  <conditionalFormatting sqref="D71">
    <cfRule type="expression" dxfId="67" priority="5" stopIfTrue="1">
      <formula>LEFT($D71,1)="W"</formula>
    </cfRule>
  </conditionalFormatting>
  <conditionalFormatting sqref="D97 D95 D93 D91 D88">
    <cfRule type="expression" dxfId="66" priority="2" stopIfTrue="1">
      <formula>LEFT($D88,1)="W"</formula>
    </cfRule>
  </conditionalFormatting>
  <conditionalFormatting sqref="D86">
    <cfRule type="expression" dxfId="65" priority="3" stopIfTrue="1">
      <formula>LEFT($D86,1)="W"</formula>
    </cfRule>
  </conditionalFormatting>
  <conditionalFormatting sqref="D99">
    <cfRule type="expression" dxfId="64" priority="1" stopIfTrue="1">
      <formula>LEFT($D99,1)="W"</formula>
    </cfRule>
  </conditionalFormatting>
  <dataValidations count="3">
    <dataValidation type="list" allowBlank="1" showInputMessage="1" showErrorMessage="1" sqref="E102 E9 E69 E15 E17 E21 E23 E25 E105 E19 E28 E73 E7 E32 E34 E36 E38 E30 E40 E44 E46 E48 E50 E42 E57 E61 E63 E65 E67 E59 E11 E13 E52 E54 E84 E71 E76 E78 E80 E82 E97 E86 E91 E93 E95 E88 E99 E5">
      <formula1>ValidStatus</formula1>
    </dataValidation>
    <dataValidation type="list" allowBlank="1" showInputMessage="1" showErrorMessage="1" sqref="G102:H102 G105:H105 G23:H23 G25:H25 G9 G69:H69 G15 G17 G21:H21 G19 G28:H28 G73 G7 G34:H34 G38:H38 G36:H36 G32:H32 G30 G40:H40 G46:H46 G50:H50 G48:H48 G44:H44 G42 G57:H57 G63:H63 G67:H67 G65:H65 G61:H61 G59 G11 G13 G52:H52 G54:H54 G84:H84 G71:H71 G78:H78 G82:H82 G80:H80 G76:H76 G97:H97 G86:H86 G91:H91 G95:H95 G93:H93 G88 G99:H99 G5">
      <formula1>ValidPhases</formula1>
    </dataValidation>
    <dataValidation type="list" allowBlank="1" showInputMessage="1" showErrorMessage="1" sqref="H9 H59 H15 H17 H19 H73 H7 H30 H42 H11 H13 H88 H5">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I106"/>
  <sheetViews>
    <sheetView showGridLines="0" workbookViewId="0">
      <pane ySplit="2" topLeftCell="A3" activePane="bottomLeft" state="frozen"/>
      <selection pane="bottomLeft" activeCell="B11" sqref="B11"/>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TestingDetail-cim-genedadmin</v>
      </c>
      <c r="B1" s="229"/>
      <c r="C1" s="236" t="str">
        <f>ProjectSummary!$D$1</f>
        <v xml:space="preserve"> -  /</v>
      </c>
      <c r="D1" s="230"/>
      <c r="E1" s="230"/>
      <c r="F1" s="230"/>
      <c r="G1" s="203"/>
      <c r="H1" s="204"/>
      <c r="I1" s="205"/>
    </row>
    <row r="2" spans="1:9" s="77" customFormat="1" ht="33" thickTop="1" thickBot="1" x14ac:dyDescent="0.3">
      <c r="A2" s="243" t="s">
        <v>489</v>
      </c>
      <c r="B2" s="206" t="s">
        <v>126</v>
      </c>
      <c r="C2" s="207" t="s">
        <v>0</v>
      </c>
      <c r="D2" s="208" t="s">
        <v>62</v>
      </c>
      <c r="E2" s="208" t="s">
        <v>61</v>
      </c>
      <c r="F2" s="209" t="s">
        <v>58</v>
      </c>
      <c r="G2" s="210" t="s">
        <v>201</v>
      </c>
      <c r="H2" s="211" t="s">
        <v>202</v>
      </c>
      <c r="I2" s="212" t="s">
        <v>60</v>
      </c>
    </row>
    <row r="3" spans="1:9" s="25" customFormat="1" ht="19.5" hidden="1" customHeight="1" thickTop="1" x14ac:dyDescent="0.25">
      <c r="A3" s="71"/>
      <c r="B3" s="135" t="s">
        <v>206</v>
      </c>
      <c r="C3" s="136" t="s">
        <v>204</v>
      </c>
      <c r="D3" s="103"/>
      <c r="E3" s="244" t="s">
        <v>205</v>
      </c>
      <c r="F3" s="244"/>
      <c r="G3" s="244"/>
      <c r="H3" s="104"/>
      <c r="I3" s="137"/>
    </row>
    <row r="4" spans="1:9" s="73" customFormat="1" ht="16.5" thickTop="1" x14ac:dyDescent="0.25">
      <c r="A4" s="124" t="str">
        <f>IF(AND(B4&lt;&gt;"",C4&lt;&gt;"",LEFT(B4,1)&lt;&gt;"#"),MAX(#REF!)+1,"")</f>
        <v/>
      </c>
      <c r="B4" s="150" t="s">
        <v>471</v>
      </c>
      <c r="C4" s="125"/>
      <c r="D4" s="126"/>
      <c r="E4" s="127"/>
      <c r="F4" s="128"/>
      <c r="G4" s="128"/>
      <c r="H4" s="129"/>
      <c r="I4" s="130"/>
    </row>
    <row r="5" spans="1:9" ht="30" x14ac:dyDescent="0.25">
      <c r="A5" s="78">
        <f>IF(AND(B5&lt;&gt;"",C5&lt;&gt;"",LEFT(B5,1)&lt;&gt;"#"),MAX($A$2:A4)+1,"")</f>
        <v>1</v>
      </c>
      <c r="B5" s="186" t="s">
        <v>1</v>
      </c>
      <c r="C5" s="187" t="s">
        <v>2</v>
      </c>
      <c r="D5" s="192"/>
      <c r="E5" s="56"/>
      <c r="F5" s="26"/>
      <c r="G5" s="69"/>
      <c r="H5" s="74"/>
      <c r="I5" s="65"/>
    </row>
    <row r="6" spans="1:9" x14ac:dyDescent="0.25">
      <c r="A6" s="190"/>
      <c r="B6" s="135" t="str">
        <f>$B$3</f>
        <v>( Add new test case )</v>
      </c>
      <c r="C6" s="136" t="str">
        <f>$C$3</f>
        <v>( Remove previous test result )</v>
      </c>
      <c r="D6" s="103"/>
      <c r="E6" s="244" t="str">
        <f>$E$3</f>
        <v>( Add new test result )</v>
      </c>
      <c r="F6" s="244"/>
      <c r="G6" s="244"/>
      <c r="H6" s="104"/>
      <c r="I6" s="66"/>
    </row>
    <row r="7" spans="1:9" ht="45" x14ac:dyDescent="0.25">
      <c r="A7" s="52">
        <f>IF(AND(B7&lt;&gt;"",C7&lt;&gt;"",LEFT(B7,1)&lt;&gt;"#"),MAX($A$2:A5)+1,"")</f>
        <v>2</v>
      </c>
      <c r="B7" s="14" t="s">
        <v>492</v>
      </c>
      <c r="C7" s="86" t="s">
        <v>3</v>
      </c>
      <c r="D7" s="51"/>
      <c r="E7" s="56"/>
      <c r="F7" s="26"/>
      <c r="G7" s="69"/>
      <c r="H7" s="74"/>
      <c r="I7" s="67"/>
    </row>
    <row r="8" spans="1:9" x14ac:dyDescent="0.25">
      <c r="A8" s="58"/>
      <c r="B8" s="102" t="str">
        <f>$B$3</f>
        <v>( Add new test case )</v>
      </c>
      <c r="C8" s="99" t="str">
        <f>$C$3</f>
        <v>( Remove previous test result )</v>
      </c>
      <c r="D8" s="103"/>
      <c r="E8" s="244" t="str">
        <f>$E$3</f>
        <v>( Add new test result )</v>
      </c>
      <c r="F8" s="244"/>
      <c r="G8" s="244"/>
      <c r="H8" s="104"/>
      <c r="I8" s="66"/>
    </row>
    <row r="9" spans="1:9" ht="30" x14ac:dyDescent="0.25">
      <c r="A9" s="191">
        <f>IF(AND(B9&lt;&gt;"",C9&lt;&gt;"",LEFT(B9,1)&lt;&gt;"#"),MAX($A$2:A7)+1,"")</f>
        <v>3</v>
      </c>
      <c r="B9" s="188" t="s">
        <v>493</v>
      </c>
      <c r="C9" s="189" t="s">
        <v>5</v>
      </c>
      <c r="D9" s="152"/>
      <c r="E9" s="56"/>
      <c r="F9" s="26"/>
      <c r="G9" s="69"/>
      <c r="H9" s="74"/>
      <c r="I9" s="67"/>
    </row>
    <row r="10" spans="1:9" x14ac:dyDescent="0.25">
      <c r="A10" s="190"/>
      <c r="B10" s="135" t="str">
        <f>$B$3</f>
        <v>( Add new test case )</v>
      </c>
      <c r="C10" s="136" t="str">
        <f>$C$3</f>
        <v>( Remove previous test result )</v>
      </c>
      <c r="D10" s="103"/>
      <c r="E10" s="244" t="str">
        <f>$E$3</f>
        <v>( Add new test result )</v>
      </c>
      <c r="F10" s="244"/>
      <c r="G10" s="244"/>
      <c r="H10" s="104"/>
      <c r="I10" s="66"/>
    </row>
    <row r="11" spans="1:9" ht="30" x14ac:dyDescent="0.25">
      <c r="A11" s="52">
        <f>IF(AND(B11&lt;&gt;"",C11&lt;&gt;"",LEFT(B11,1)&lt;&gt;"#"),MAX($A$2:A10)+1,"")</f>
        <v>4</v>
      </c>
      <c r="B11" s="15" t="s">
        <v>128</v>
      </c>
      <c r="C11" s="87" t="s">
        <v>4</v>
      </c>
      <c r="D11" s="51"/>
      <c r="E11" s="56"/>
      <c r="F11" s="26"/>
      <c r="G11" s="69"/>
      <c r="H11" s="74"/>
      <c r="I11" s="67"/>
    </row>
    <row r="12" spans="1:9" x14ac:dyDescent="0.25">
      <c r="A12" s="58"/>
      <c r="B12" s="79"/>
      <c r="C12" s="79"/>
      <c r="D12" s="103"/>
      <c r="E12" s="244" t="str">
        <f>$E$3</f>
        <v>( Add new test result )</v>
      </c>
      <c r="F12" s="244"/>
      <c r="G12" s="244"/>
      <c r="H12" s="104"/>
      <c r="I12" s="66"/>
    </row>
    <row r="13" spans="1:9" ht="30" x14ac:dyDescent="0.25">
      <c r="A13" s="52">
        <f>IF(AND(B13&lt;&gt;"",C13&lt;&gt;"",LEFT(B13,1)&lt;&gt;"#"),MAX($A$2:A12)+1,"")</f>
        <v>5</v>
      </c>
      <c r="B13" s="15" t="s">
        <v>494</v>
      </c>
      <c r="C13" s="87" t="s">
        <v>6</v>
      </c>
      <c r="D13" s="51"/>
      <c r="E13" s="56"/>
      <c r="F13" s="26"/>
      <c r="G13" s="69"/>
      <c r="H13" s="74"/>
      <c r="I13" s="67"/>
    </row>
    <row r="14" spans="1:9" x14ac:dyDescent="0.25">
      <c r="A14" s="58"/>
      <c r="B14" s="102" t="str">
        <f>$B$3</f>
        <v>( Add new test case )</v>
      </c>
      <c r="C14" s="99" t="str">
        <f>$C$3</f>
        <v>( Remove previous test result )</v>
      </c>
      <c r="D14" s="103"/>
      <c r="E14" s="244" t="str">
        <f>$E$3</f>
        <v>( Add new test result )</v>
      </c>
      <c r="F14" s="244"/>
      <c r="G14" s="244"/>
      <c r="H14" s="104"/>
      <c r="I14" s="66"/>
    </row>
    <row r="15" spans="1:9" ht="30" x14ac:dyDescent="0.25">
      <c r="A15" s="52">
        <f>IF(AND(B15&lt;&gt;"",C15&lt;&gt;"",LEFT(B15,1)&lt;&gt;"#"),MAX($A$2:A14)+1,"")</f>
        <v>6</v>
      </c>
      <c r="B15" s="15" t="s">
        <v>130</v>
      </c>
      <c r="C15" s="87" t="s">
        <v>7</v>
      </c>
      <c r="D15" s="51"/>
      <c r="E15" s="56"/>
      <c r="F15" s="26"/>
      <c r="G15" s="69"/>
      <c r="H15" s="74"/>
      <c r="I15" s="67"/>
    </row>
    <row r="16" spans="1:9" x14ac:dyDescent="0.25">
      <c r="A16" s="58"/>
      <c r="B16" s="102" t="str">
        <f>$B$3</f>
        <v>( Add new test case )</v>
      </c>
      <c r="C16" s="99" t="str">
        <f>$C$3</f>
        <v>( Remove previous test result )</v>
      </c>
      <c r="D16" s="103"/>
      <c r="E16" s="244" t="str">
        <f>$E$3</f>
        <v>( Add new test result )</v>
      </c>
      <c r="F16" s="244"/>
      <c r="G16" s="244"/>
      <c r="H16" s="104"/>
      <c r="I16" s="66"/>
    </row>
    <row r="17" spans="1:9" ht="45" x14ac:dyDescent="0.25">
      <c r="A17" s="52">
        <f>IF(AND(B17&lt;&gt;"",C17&lt;&gt;"",LEFT(B17,1)&lt;&gt;"#"),MAX($A$2:A16)+1,"")</f>
        <v>7</v>
      </c>
      <c r="B17" s="15" t="s">
        <v>131</v>
      </c>
      <c r="C17" s="87" t="s">
        <v>8</v>
      </c>
      <c r="D17" s="51"/>
      <c r="E17" s="56"/>
      <c r="F17" s="26" t="str">
        <f t="shared" ref="F17:F25" ca="1" si="0">IF(E17&lt;&gt;"",NOW(),"")</f>
        <v/>
      </c>
      <c r="G17" s="69"/>
      <c r="H17" s="74"/>
      <c r="I17" s="67"/>
    </row>
    <row r="18" spans="1:9" x14ac:dyDescent="0.25">
      <c r="A18" s="58"/>
      <c r="B18" s="102" t="str">
        <f>$B$3</f>
        <v>( Add new test case )</v>
      </c>
      <c r="C18" s="99" t="str">
        <f>$C$3</f>
        <v>( Remove previous test result )</v>
      </c>
      <c r="D18" s="103"/>
      <c r="E18" s="244" t="str">
        <f>$E$3</f>
        <v>( Add new test result )</v>
      </c>
      <c r="F18" s="244"/>
      <c r="G18" s="244"/>
      <c r="H18" s="104"/>
      <c r="I18" s="66"/>
    </row>
    <row r="19" spans="1:9" ht="60" x14ac:dyDescent="0.25">
      <c r="A19" s="52">
        <f>IF(AND(B19&lt;&gt;"",C19&lt;&gt;"",LEFT(B19,1)&lt;&gt;"#"),MAX($A$2:A18)+1,"")</f>
        <v>8</v>
      </c>
      <c r="B19" s="16" t="s">
        <v>495</v>
      </c>
      <c r="C19" s="16" t="s">
        <v>207</v>
      </c>
      <c r="D19" s="51"/>
      <c r="E19" s="56"/>
      <c r="F19" s="26"/>
      <c r="G19" s="69"/>
      <c r="H19" s="74"/>
      <c r="I19" s="67"/>
    </row>
    <row r="20" spans="1:9" x14ac:dyDescent="0.25">
      <c r="A20" s="58"/>
      <c r="B20" s="102" t="str">
        <f>$B$3</f>
        <v>( Add new test case )</v>
      </c>
      <c r="C20" s="99" t="str">
        <f>$C$3</f>
        <v>( Remove previous test result )</v>
      </c>
      <c r="D20" s="103"/>
      <c r="E20" s="244" t="str">
        <f>$E$3</f>
        <v>( Add new test result )</v>
      </c>
      <c r="F20" s="244"/>
      <c r="G20" s="244"/>
      <c r="H20" s="104"/>
      <c r="I20" s="66"/>
    </row>
    <row r="21" spans="1:9" ht="30" x14ac:dyDescent="0.25">
      <c r="A21" s="52">
        <f>IF(AND(B21&lt;&gt;"",C21&lt;&gt;"",LEFT(B21,1)&lt;&gt;"#"),MAX($A$2:A20)+1,"")</f>
        <v>9</v>
      </c>
      <c r="B21" s="17" t="s">
        <v>132</v>
      </c>
      <c r="C21" s="17" t="s">
        <v>22</v>
      </c>
      <c r="D21" s="51"/>
      <c r="E21" s="56"/>
      <c r="F21" s="26" t="str">
        <f t="shared" ca="1" si="0"/>
        <v/>
      </c>
      <c r="G21" s="69"/>
      <c r="H21" s="74"/>
      <c r="I21" s="67"/>
    </row>
    <row r="22" spans="1:9" x14ac:dyDescent="0.25">
      <c r="A22" s="58"/>
      <c r="B22" s="102" t="str">
        <f>$B$3</f>
        <v>( Add new test case )</v>
      </c>
      <c r="C22" s="99" t="str">
        <f>$C$3</f>
        <v>( Remove previous test result )</v>
      </c>
      <c r="D22" s="103"/>
      <c r="E22" s="244" t="str">
        <f>$E$3</f>
        <v>( Add new test result )</v>
      </c>
      <c r="F22" s="244"/>
      <c r="G22" s="244"/>
      <c r="H22" s="104"/>
      <c r="I22" s="66"/>
    </row>
    <row r="23" spans="1:9" ht="45" x14ac:dyDescent="0.25">
      <c r="A23" s="52">
        <f>IF(AND(B23&lt;&gt;"",C23&lt;&gt;"",LEFT(B23,1)&lt;&gt;"#"),MAX($A$2:A22)+1,"")</f>
        <v>10</v>
      </c>
      <c r="B23" s="16" t="s">
        <v>496</v>
      </c>
      <c r="C23" s="16" t="s">
        <v>208</v>
      </c>
      <c r="D23" s="51"/>
      <c r="E23" s="56"/>
      <c r="F23" s="26" t="str">
        <f t="shared" ca="1" si="0"/>
        <v/>
      </c>
      <c r="G23" s="69"/>
      <c r="H23" s="74"/>
      <c r="I23" s="67"/>
    </row>
    <row r="24" spans="1:9" x14ac:dyDescent="0.25">
      <c r="A24" s="58"/>
      <c r="B24" s="102" t="str">
        <f>$B$3</f>
        <v>( Add new test case )</v>
      </c>
      <c r="C24" s="99" t="str">
        <f>$C$3</f>
        <v>( Remove previous test result )</v>
      </c>
      <c r="D24" s="103"/>
      <c r="E24" s="244" t="str">
        <f>$E$3</f>
        <v>( Add new test result )</v>
      </c>
      <c r="F24" s="244"/>
      <c r="G24" s="244"/>
      <c r="H24" s="104"/>
      <c r="I24" s="66"/>
    </row>
    <row r="25" spans="1:9" ht="45" x14ac:dyDescent="0.25">
      <c r="A25" s="52">
        <f>IF(AND(B25&lt;&gt;"",C25&lt;&gt;"",LEFT(B25,1)&lt;&gt;"#"),MAX($A$2:A24)+1,"")</f>
        <v>11</v>
      </c>
      <c r="B25" s="16" t="s">
        <v>133</v>
      </c>
      <c r="C25" s="16" t="s">
        <v>27</v>
      </c>
      <c r="D25" s="51"/>
      <c r="E25" s="56"/>
      <c r="F25" s="26" t="str">
        <f t="shared" ca="1" si="0"/>
        <v/>
      </c>
      <c r="G25" s="69"/>
      <c r="H25" s="74"/>
      <c r="I25" s="67"/>
    </row>
    <row r="26" spans="1:9" x14ac:dyDescent="0.25">
      <c r="A26" s="58"/>
      <c r="B26" s="102" t="str">
        <f>$B$3</f>
        <v>( Add new test case )</v>
      </c>
      <c r="C26" s="99" t="str">
        <f>$C$3</f>
        <v>( Remove previous test result )</v>
      </c>
      <c r="D26" s="103"/>
      <c r="E26" s="244" t="str">
        <f>$E$3</f>
        <v>( Add new test result )</v>
      </c>
      <c r="F26" s="244"/>
      <c r="G26" s="244"/>
      <c r="H26" s="104"/>
      <c r="I26" s="66"/>
    </row>
    <row r="27" spans="1:9" ht="15.75" x14ac:dyDescent="0.25">
      <c r="A27" s="124" t="str">
        <f>IF(AND(B27&lt;&gt;"",C27&lt;&gt;"",LEFT(B27,1)&lt;&gt;"#"),MAX(#REF!)+1,"")</f>
        <v/>
      </c>
      <c r="B27" s="150" t="s">
        <v>67</v>
      </c>
      <c r="C27" s="125"/>
      <c r="D27" s="126"/>
      <c r="E27" s="127"/>
      <c r="F27" s="128"/>
      <c r="G27" s="128"/>
      <c r="H27" s="129"/>
      <c r="I27" s="130"/>
    </row>
    <row r="28" spans="1:9" ht="30" x14ac:dyDescent="0.25">
      <c r="A28" s="52">
        <f>IF(AND(B28&lt;&gt;"",C28&lt;&gt;"",LEFT(B28,1)&lt;&gt;"#"),MAX($A$2:A27)+1,"")</f>
        <v>12</v>
      </c>
      <c r="B28" s="18" t="s">
        <v>144</v>
      </c>
      <c r="C28" s="88" t="s">
        <v>26</v>
      </c>
      <c r="D28" s="51"/>
      <c r="E28" s="56"/>
      <c r="F28" s="26"/>
      <c r="G28" s="69"/>
      <c r="H28" s="74"/>
      <c r="I28" s="65"/>
    </row>
    <row r="29" spans="1:9" x14ac:dyDescent="0.25">
      <c r="A29" s="58"/>
      <c r="B29" s="102" t="str">
        <f>$B$3</f>
        <v>( Add new test case )</v>
      </c>
      <c r="C29" s="99" t="str">
        <f>$C$3</f>
        <v>( Remove previous test result )</v>
      </c>
      <c r="D29" s="103"/>
      <c r="E29" s="244" t="str">
        <f>$E$3</f>
        <v>( Add new test result )</v>
      </c>
      <c r="F29" s="244"/>
      <c r="G29" s="244"/>
      <c r="H29" s="104"/>
      <c r="I29" s="66"/>
    </row>
    <row r="30" spans="1:9" ht="60" x14ac:dyDescent="0.25">
      <c r="A30" s="52">
        <f>IF(AND(B30&lt;&gt;"",C30&lt;&gt;"",LEFT(B30,1)&lt;&gt;"#"),MAX($A$2:A29)+1,"")</f>
        <v>13</v>
      </c>
      <c r="B30" s="19" t="s">
        <v>145</v>
      </c>
      <c r="C30" s="89" t="s">
        <v>209</v>
      </c>
      <c r="D30" s="51"/>
      <c r="E30" s="56"/>
      <c r="F30" s="26"/>
      <c r="G30" s="69"/>
      <c r="H30" s="74"/>
      <c r="I30" s="246"/>
    </row>
    <row r="31" spans="1:9" x14ac:dyDescent="0.25">
      <c r="A31" s="58"/>
      <c r="B31" s="102" t="str">
        <f>$B$3</f>
        <v>( Add new test case )</v>
      </c>
      <c r="C31" s="99" t="str">
        <f>$C$3</f>
        <v>( Remove previous test result )</v>
      </c>
      <c r="D31" s="103"/>
      <c r="E31" s="244" t="str">
        <f>$E$3</f>
        <v>( Add new test result )</v>
      </c>
      <c r="F31" s="244"/>
      <c r="G31" s="244"/>
      <c r="H31" s="104"/>
      <c r="I31" s="66"/>
    </row>
    <row r="32" spans="1:9" ht="30" x14ac:dyDescent="0.25">
      <c r="A32" s="52">
        <f>IF(AND(B32&lt;&gt;"",C32&lt;&gt;"",LEFT(B32,1)&lt;&gt;"#"),MAX($A$2:A31)+1,"")</f>
        <v>14</v>
      </c>
      <c r="B32" s="19" t="s">
        <v>497</v>
      </c>
      <c r="C32" s="89" t="s">
        <v>210</v>
      </c>
      <c r="D32" s="51"/>
      <c r="E32" s="56"/>
      <c r="F32" s="26" t="str">
        <f t="shared" ref="F32" ca="1" si="1">IF(E32&lt;&gt;"",NOW(),"")</f>
        <v/>
      </c>
      <c r="G32" s="69"/>
      <c r="H32" s="74"/>
      <c r="I32" s="246"/>
    </row>
    <row r="33" spans="1:9" x14ac:dyDescent="0.25">
      <c r="A33" s="58"/>
      <c r="B33" s="102" t="str">
        <f>$B$3</f>
        <v>( Add new test case )</v>
      </c>
      <c r="C33" s="99" t="str">
        <f>$C$3</f>
        <v>( Remove previous test result )</v>
      </c>
      <c r="D33" s="103"/>
      <c r="E33" s="244" t="str">
        <f>$E$3</f>
        <v>( Add new test result )</v>
      </c>
      <c r="F33" s="244"/>
      <c r="G33" s="244"/>
      <c r="H33" s="104"/>
      <c r="I33" s="66"/>
    </row>
    <row r="34" spans="1:9" ht="30" x14ac:dyDescent="0.25">
      <c r="A34" s="52">
        <f>IF(AND(B34&lt;&gt;"",C34&lt;&gt;"",LEFT(B34,1)&lt;&gt;"#"),MAX($A$2:A33)+1,"")</f>
        <v>15</v>
      </c>
      <c r="B34" s="19" t="s">
        <v>149</v>
      </c>
      <c r="C34" s="89" t="s">
        <v>28</v>
      </c>
      <c r="D34" s="51"/>
      <c r="E34" s="56"/>
      <c r="F34" s="26" t="str">
        <f t="shared" ref="F34" ca="1" si="2">IF(E34&lt;&gt;"",NOW(),"")</f>
        <v/>
      </c>
      <c r="G34" s="69"/>
      <c r="H34" s="74"/>
      <c r="I34" s="246"/>
    </row>
    <row r="35" spans="1:9" x14ac:dyDescent="0.25">
      <c r="A35" s="58"/>
      <c r="B35" s="102" t="str">
        <f>$B$3</f>
        <v>( Add new test case )</v>
      </c>
      <c r="C35" s="99" t="str">
        <f>$C$3</f>
        <v>( Remove previous test result )</v>
      </c>
      <c r="D35" s="103"/>
      <c r="E35" s="244" t="str">
        <f>$E$3</f>
        <v>( Add new test result )</v>
      </c>
      <c r="F35" s="244"/>
      <c r="G35" s="244"/>
      <c r="H35" s="104"/>
      <c r="I35" s="66"/>
    </row>
    <row r="36" spans="1:9" ht="45" x14ac:dyDescent="0.25">
      <c r="A36" s="52">
        <f>IF(AND(B36&lt;&gt;"",C36&lt;&gt;"",LEFT(B36,1)&lt;&gt;"#"),MAX($A$2:A35)+1,"")</f>
        <v>16</v>
      </c>
      <c r="B36" s="19" t="s">
        <v>498</v>
      </c>
      <c r="C36" s="89" t="s">
        <v>499</v>
      </c>
      <c r="D36" s="51"/>
      <c r="E36" s="56"/>
      <c r="F36" s="26" t="str">
        <f t="shared" ref="F36" ca="1" si="3">IF(E36&lt;&gt;"",NOW(),"")</f>
        <v/>
      </c>
      <c r="G36" s="69"/>
      <c r="H36" s="74"/>
      <c r="I36" s="67"/>
    </row>
    <row r="37" spans="1:9" x14ac:dyDescent="0.25">
      <c r="A37" s="58"/>
      <c r="B37" s="102" t="str">
        <f>$B$3</f>
        <v>( Add new test case )</v>
      </c>
      <c r="C37" s="99" t="str">
        <f>$C$3</f>
        <v>( Remove previous test result )</v>
      </c>
      <c r="D37" s="103"/>
      <c r="E37" s="244" t="str">
        <f>$E$3</f>
        <v>( Add new test result )</v>
      </c>
      <c r="F37" s="244"/>
      <c r="G37" s="244"/>
      <c r="H37" s="104"/>
      <c r="I37" s="66"/>
    </row>
    <row r="38" spans="1:9" ht="30" x14ac:dyDescent="0.25">
      <c r="A38" s="52">
        <f>IF(AND(B38&lt;&gt;"",C38&lt;&gt;"",LEFT(B38,1)&lt;&gt;"#"),MAX($A$2:A37)+1,"")</f>
        <v>17</v>
      </c>
      <c r="B38" s="19" t="s">
        <v>500</v>
      </c>
      <c r="C38" s="89" t="s">
        <v>211</v>
      </c>
      <c r="D38" s="51"/>
      <c r="E38" s="56"/>
      <c r="F38" s="118" t="str">
        <f t="shared" ref="F38" ca="1" si="4">IF(E38&lt;&gt;"",NOW(),"")</f>
        <v/>
      </c>
      <c r="G38" s="69"/>
      <c r="H38" s="74"/>
      <c r="I38" s="67"/>
    </row>
    <row r="39" spans="1:9" x14ac:dyDescent="0.25">
      <c r="A39" s="58"/>
      <c r="B39" s="102" t="str">
        <f>$B$3</f>
        <v>( Add new test case )</v>
      </c>
      <c r="C39" s="99" t="str">
        <f>$C$3</f>
        <v>( Remove previous test result )</v>
      </c>
      <c r="D39" s="103"/>
      <c r="E39" s="244" t="str">
        <f>$E$3</f>
        <v>( Add new test result )</v>
      </c>
      <c r="F39" s="244"/>
      <c r="G39" s="244"/>
      <c r="H39" s="104"/>
      <c r="I39" s="66"/>
    </row>
    <row r="40" spans="1:9" ht="45" x14ac:dyDescent="0.25">
      <c r="A40" s="52">
        <f>IF(AND(B40&lt;&gt;"",C40&lt;&gt;"",LEFT(B40,1)&lt;&gt;"#"),MAX($A$2:A39)+1,"")</f>
        <v>18</v>
      </c>
      <c r="B40" s="19" t="s">
        <v>150</v>
      </c>
      <c r="C40" s="89" t="s">
        <v>9</v>
      </c>
      <c r="D40" s="51"/>
      <c r="E40" s="56"/>
      <c r="F40" s="26"/>
      <c r="G40" s="69"/>
      <c r="H40" s="74"/>
      <c r="I40" s="67"/>
    </row>
    <row r="41" spans="1:9" x14ac:dyDescent="0.25">
      <c r="A41" s="58"/>
      <c r="B41" s="102" t="str">
        <f>$B$3</f>
        <v>( Add new test case )</v>
      </c>
      <c r="C41" s="99" t="str">
        <f>$C$3</f>
        <v>( Remove previous test result )</v>
      </c>
      <c r="D41" s="103"/>
      <c r="E41" s="244" t="str">
        <f>$E$3</f>
        <v>( Add new test result )</v>
      </c>
      <c r="F41" s="244"/>
      <c r="G41" s="244"/>
      <c r="H41" s="104"/>
      <c r="I41" s="66"/>
    </row>
    <row r="42" spans="1:9" ht="60" x14ac:dyDescent="0.25">
      <c r="A42" s="52">
        <f>IF(AND(B42&lt;&gt;"",C42&lt;&gt;"",LEFT(B42,1)&lt;&gt;"#"),MAX($A$2:A41)+1,"")</f>
        <v>19</v>
      </c>
      <c r="B42" s="19" t="s">
        <v>151</v>
      </c>
      <c r="C42" s="89" t="s">
        <v>10</v>
      </c>
      <c r="D42" s="51"/>
      <c r="E42" s="56"/>
      <c r="F42" s="26"/>
      <c r="G42" s="69"/>
      <c r="H42" s="74"/>
      <c r="I42" s="67"/>
    </row>
    <row r="43" spans="1:9" x14ac:dyDescent="0.25">
      <c r="A43" s="58"/>
      <c r="B43" s="102" t="str">
        <f>$B$3</f>
        <v>( Add new test case )</v>
      </c>
      <c r="C43" s="99" t="str">
        <f>$C$3</f>
        <v>( Remove previous test result )</v>
      </c>
      <c r="D43" s="103"/>
      <c r="E43" s="244" t="str">
        <f>$E$3</f>
        <v>( Add new test result )</v>
      </c>
      <c r="F43" s="244"/>
      <c r="G43" s="244"/>
      <c r="H43" s="104"/>
      <c r="I43" s="66"/>
    </row>
    <row r="44" spans="1:9" ht="75" x14ac:dyDescent="0.25">
      <c r="A44" s="52">
        <f>IF(AND(B44&lt;&gt;"",C44&lt;&gt;"",LEFT(B44,1)&lt;&gt;"#"),MAX($A$2:A43)+1,"")</f>
        <v>20</v>
      </c>
      <c r="B44" s="19" t="s">
        <v>152</v>
      </c>
      <c r="C44" s="89" t="s">
        <v>31</v>
      </c>
      <c r="D44" s="51"/>
      <c r="E44" s="56"/>
      <c r="F44" s="26" t="str">
        <f t="shared" ref="F44" ca="1" si="5">IF(E44&lt;&gt;"",NOW(),"")</f>
        <v/>
      </c>
      <c r="G44" s="69"/>
      <c r="H44" s="74"/>
      <c r="I44" s="67"/>
    </row>
    <row r="45" spans="1:9" x14ac:dyDescent="0.25">
      <c r="A45" s="58"/>
      <c r="B45" s="102" t="str">
        <f>$B$3</f>
        <v>( Add new test case )</v>
      </c>
      <c r="C45" s="99" t="str">
        <f>$C$3</f>
        <v>( Remove previous test result )</v>
      </c>
      <c r="D45" s="103"/>
      <c r="E45" s="244" t="str">
        <f>$E$3</f>
        <v>( Add new test result )</v>
      </c>
      <c r="F45" s="244"/>
      <c r="G45" s="244"/>
      <c r="H45" s="104"/>
      <c r="I45" s="66"/>
    </row>
    <row r="46" spans="1:9" ht="45" x14ac:dyDescent="0.25">
      <c r="A46" s="52">
        <f>IF(AND(B46&lt;&gt;"",C46&lt;&gt;"",LEFT(B46,1)&lt;&gt;"#"),MAX($A$2:A45)+1,"")</f>
        <v>21</v>
      </c>
      <c r="B46" s="19" t="s">
        <v>154</v>
      </c>
      <c r="C46" s="89" t="s">
        <v>11</v>
      </c>
      <c r="D46" s="51"/>
      <c r="E46" s="56"/>
      <c r="F46" s="26" t="str">
        <f t="shared" ref="F46" ca="1" si="6">IF(E46&lt;&gt;"",NOW(),"")</f>
        <v/>
      </c>
      <c r="G46" s="69"/>
      <c r="H46" s="74"/>
      <c r="I46" s="67"/>
    </row>
    <row r="47" spans="1:9" x14ac:dyDescent="0.25">
      <c r="A47" s="58"/>
      <c r="B47" s="102" t="str">
        <f>$B$3</f>
        <v>( Add new test case )</v>
      </c>
      <c r="C47" s="99" t="str">
        <f>$C$3</f>
        <v>( Remove previous test result )</v>
      </c>
      <c r="D47" s="103"/>
      <c r="E47" s="244" t="str">
        <f>$E$3</f>
        <v>( Add new test result )</v>
      </c>
      <c r="F47" s="244"/>
      <c r="G47" s="244"/>
      <c r="H47" s="104"/>
      <c r="I47" s="66"/>
    </row>
    <row r="48" spans="1:9" ht="60" x14ac:dyDescent="0.25">
      <c r="A48" s="52">
        <f>IF(AND(B48&lt;&gt;"",C48&lt;&gt;"",LEFT(B48,1)&lt;&gt;"#"),MAX($A$2:A47)+1,"")</f>
        <v>22</v>
      </c>
      <c r="B48" s="19" t="s">
        <v>501</v>
      </c>
      <c r="C48" s="89" t="s">
        <v>29</v>
      </c>
      <c r="D48" s="51"/>
      <c r="E48" s="56"/>
      <c r="F48" s="26" t="str">
        <f t="shared" ref="F48" ca="1" si="7">IF(E48&lt;&gt;"",NOW(),"")</f>
        <v/>
      </c>
      <c r="G48" s="69"/>
      <c r="H48" s="74"/>
      <c r="I48" s="67"/>
    </row>
    <row r="49" spans="1:9" x14ac:dyDescent="0.25">
      <c r="A49" s="58"/>
      <c r="B49" s="102" t="str">
        <f>$B$3</f>
        <v>( Add new test case )</v>
      </c>
      <c r="C49" s="99" t="str">
        <f>$C$3</f>
        <v>( Remove previous test result )</v>
      </c>
      <c r="D49" s="103"/>
      <c r="E49" s="244" t="str">
        <f>$E$3</f>
        <v>( Add new test result )</v>
      </c>
      <c r="F49" s="244"/>
      <c r="G49" s="244"/>
      <c r="H49" s="104"/>
      <c r="I49" s="66"/>
    </row>
    <row r="50" spans="1:9" ht="105" x14ac:dyDescent="0.25">
      <c r="A50" s="52">
        <f>IF(AND(B50&lt;&gt;"",C50&lt;&gt;"",LEFT(B50,1)&lt;&gt;"#"),MAX($A$2:A49)+1,"")</f>
        <v>23</v>
      </c>
      <c r="B50" s="19" t="s">
        <v>156</v>
      </c>
      <c r="C50" s="89" t="s">
        <v>24</v>
      </c>
      <c r="D50" s="51"/>
      <c r="E50" s="56"/>
      <c r="F50" s="26" t="str">
        <f t="shared" ref="F50" ca="1" si="8">IF(E50&lt;&gt;"",NOW(),"")</f>
        <v/>
      </c>
      <c r="G50" s="69"/>
      <c r="H50" s="74"/>
      <c r="I50" s="67"/>
    </row>
    <row r="51" spans="1:9" x14ac:dyDescent="0.25">
      <c r="A51" s="58"/>
      <c r="B51" s="102" t="str">
        <f>$B$3</f>
        <v>( Add new test case )</v>
      </c>
      <c r="C51" s="99" t="str">
        <f>$C$3</f>
        <v>( Remove previous test result )</v>
      </c>
      <c r="D51" s="103"/>
      <c r="E51" s="244" t="str">
        <f>$E$3</f>
        <v>( Add new test result )</v>
      </c>
      <c r="F51" s="244"/>
      <c r="G51" s="244"/>
      <c r="H51" s="104"/>
      <c r="I51" s="66"/>
    </row>
    <row r="52" spans="1:9" x14ac:dyDescent="0.25">
      <c r="A52" s="52">
        <f>IF(AND(B52&lt;&gt;"",C52&lt;&gt;"",LEFT(B52,1)&lt;&gt;"#"),MAX($A$2:A51)+1,"")</f>
        <v>24</v>
      </c>
      <c r="B52" s="93" t="s">
        <v>212</v>
      </c>
      <c r="C52" s="93" t="s">
        <v>213</v>
      </c>
      <c r="D52" s="51"/>
      <c r="E52" s="56"/>
      <c r="F52" s="26"/>
      <c r="G52" s="69"/>
      <c r="H52" s="74"/>
      <c r="I52" s="247"/>
    </row>
    <row r="53" spans="1:9" x14ac:dyDescent="0.25">
      <c r="A53" s="58"/>
      <c r="B53" s="102" t="str">
        <f>$B$3</f>
        <v>( Add new test case )</v>
      </c>
      <c r="C53" s="99" t="str">
        <f>$C$3</f>
        <v>( Remove previous test result )</v>
      </c>
      <c r="D53" s="103"/>
      <c r="E53" s="244" t="str">
        <f>$E$3</f>
        <v>( Add new test result )</v>
      </c>
      <c r="F53" s="244"/>
      <c r="G53" s="244"/>
      <c r="H53" s="104"/>
      <c r="I53" s="66"/>
    </row>
    <row r="54" spans="1:9" ht="30" x14ac:dyDescent="0.25">
      <c r="A54" s="52">
        <f>IF(AND(B54&lt;&gt;"",C54&lt;&gt;"",LEFT(B54,1)&lt;&gt;"#"),MAX($A$2:A53)+1,"")</f>
        <v>25</v>
      </c>
      <c r="B54" s="97" t="s">
        <v>215</v>
      </c>
      <c r="C54" s="248" t="s">
        <v>216</v>
      </c>
      <c r="D54" s="51"/>
      <c r="E54" s="56"/>
      <c r="F54" s="26"/>
      <c r="G54" s="69"/>
      <c r="H54" s="74"/>
      <c r="I54" s="246"/>
    </row>
    <row r="55" spans="1:9" x14ac:dyDescent="0.25">
      <c r="A55" s="121"/>
      <c r="B55" s="122" t="str">
        <f>$B$3</f>
        <v>( Add new test case )</v>
      </c>
      <c r="C55" s="123" t="str">
        <f>$C$3</f>
        <v>( Remove previous test result )</v>
      </c>
      <c r="D55" s="100"/>
      <c r="E55" s="245" t="str">
        <f>$E$3</f>
        <v>( Add new test result )</v>
      </c>
      <c r="F55" s="245"/>
      <c r="G55" s="245"/>
      <c r="H55" s="101"/>
      <c r="I55" s="83"/>
    </row>
    <row r="56" spans="1:9" ht="15.75" x14ac:dyDescent="0.25">
      <c r="A56" s="124" t="str">
        <f>IF(AND(B56&lt;&gt;"",C56&lt;&gt;"",LEFT(B56,1)&lt;&gt;"#"),MAX(#REF!)+1,"")</f>
        <v/>
      </c>
      <c r="B56" s="150" t="s">
        <v>217</v>
      </c>
      <c r="C56" s="125"/>
      <c r="D56" s="126"/>
      <c r="E56" s="127"/>
      <c r="F56" s="128"/>
      <c r="G56" s="128"/>
      <c r="H56" s="129"/>
      <c r="I56" s="130"/>
    </row>
    <row r="57" spans="1:9" ht="45" x14ac:dyDescent="0.25">
      <c r="A57" s="52">
        <f>IF(AND(B57&lt;&gt;"",C57&lt;&gt;"",LEFT(B57,1)&lt;&gt;"#"),MAX($A$2:A51)+1,"")</f>
        <v>24</v>
      </c>
      <c r="B57" s="14" t="s">
        <v>502</v>
      </c>
      <c r="C57" s="86" t="s">
        <v>219</v>
      </c>
      <c r="D57" s="51"/>
      <c r="E57" s="56"/>
      <c r="F57" s="26"/>
      <c r="G57" s="69"/>
      <c r="H57" s="74"/>
      <c r="I57" s="65"/>
    </row>
    <row r="58" spans="1:9" x14ac:dyDescent="0.25">
      <c r="A58" s="58"/>
      <c r="B58" s="102" t="str">
        <f>$B$3</f>
        <v>( Add new test case )</v>
      </c>
      <c r="C58" s="99" t="str">
        <f>$C$3</f>
        <v>( Remove previous test result )</v>
      </c>
      <c r="D58" s="103"/>
      <c r="E58" s="244" t="str">
        <f>$E$3</f>
        <v>( Add new test result )</v>
      </c>
      <c r="F58" s="244"/>
      <c r="G58" s="244"/>
      <c r="H58" s="104"/>
      <c r="I58" s="66"/>
    </row>
    <row r="59" spans="1:9" ht="60" x14ac:dyDescent="0.25">
      <c r="A59" s="52">
        <f>IF(AND(B59&lt;&gt;"",C59&lt;&gt;"",LEFT(B59,1)&lt;&gt;"#"),MAX($A$2:A58)+1,"")</f>
        <v>26</v>
      </c>
      <c r="B59" s="15" t="s">
        <v>503</v>
      </c>
      <c r="C59" s="87" t="s">
        <v>221</v>
      </c>
      <c r="D59" s="51"/>
      <c r="E59" s="56"/>
      <c r="F59" s="26"/>
      <c r="G59" s="69"/>
      <c r="H59" s="74"/>
      <c r="I59" s="67"/>
    </row>
    <row r="60" spans="1:9" x14ac:dyDescent="0.25">
      <c r="A60" s="58"/>
      <c r="B60" s="102" t="str">
        <f>$B$3</f>
        <v>( Add new test case )</v>
      </c>
      <c r="C60" s="99" t="str">
        <f>$C$3</f>
        <v>( Remove previous test result )</v>
      </c>
      <c r="D60" s="103"/>
      <c r="E60" s="244" t="str">
        <f>$E$3</f>
        <v>( Add new test result )</v>
      </c>
      <c r="F60" s="244"/>
      <c r="G60" s="244"/>
      <c r="H60" s="104"/>
      <c r="I60" s="66"/>
    </row>
    <row r="61" spans="1:9" ht="45" x14ac:dyDescent="0.25">
      <c r="A61" s="52">
        <f>IF(AND(B61&lt;&gt;"",C61&lt;&gt;"",LEFT(B61,1)&lt;&gt;"#"),MAX($A$2:A60)+1,"")</f>
        <v>27</v>
      </c>
      <c r="B61" s="15" t="s">
        <v>504</v>
      </c>
      <c r="C61" s="87" t="s">
        <v>223</v>
      </c>
      <c r="D61" s="51"/>
      <c r="E61" s="56"/>
      <c r="F61" s="118" t="str">
        <f t="shared" ref="F61" ca="1" si="9">IF(E61&lt;&gt;"",NOW(),"")</f>
        <v/>
      </c>
      <c r="G61" s="69"/>
      <c r="H61" s="74"/>
      <c r="I61" s="67"/>
    </row>
    <row r="62" spans="1:9" x14ac:dyDescent="0.25">
      <c r="A62" s="58"/>
      <c r="B62" s="102" t="str">
        <f>$B$3</f>
        <v>( Add new test case )</v>
      </c>
      <c r="C62" s="99" t="str">
        <f>$C$3</f>
        <v>( Remove previous test result )</v>
      </c>
      <c r="D62" s="103"/>
      <c r="E62" s="244" t="str">
        <f>$E$3</f>
        <v>( Add new test result )</v>
      </c>
      <c r="F62" s="244"/>
      <c r="G62" s="244"/>
      <c r="H62" s="104"/>
      <c r="I62" s="66"/>
    </row>
    <row r="63" spans="1:9" ht="30" x14ac:dyDescent="0.25">
      <c r="A63" s="52">
        <f>IF(AND(B63&lt;&gt;"",C63&lt;&gt;"",LEFT(B63,1)&lt;&gt;"#"),MAX($A$2:A62)+1,"")</f>
        <v>28</v>
      </c>
      <c r="B63" s="15" t="s">
        <v>158</v>
      </c>
      <c r="C63" s="87" t="s">
        <v>224</v>
      </c>
      <c r="D63" s="51"/>
      <c r="E63" s="56"/>
      <c r="F63" s="26" t="str">
        <f t="shared" ref="F63" ca="1" si="10">IF(E63&lt;&gt;"",NOW(),"")</f>
        <v/>
      </c>
      <c r="G63" s="69"/>
      <c r="H63" s="74"/>
      <c r="I63" s="120"/>
    </row>
    <row r="64" spans="1:9" x14ac:dyDescent="0.25">
      <c r="A64" s="58"/>
      <c r="B64" s="102" t="str">
        <f>$B$3</f>
        <v>( Add new test case )</v>
      </c>
      <c r="C64" s="99" t="str">
        <f>$C$3</f>
        <v>( Remove previous test result )</v>
      </c>
      <c r="D64" s="103"/>
      <c r="E64" s="244" t="str">
        <f>$E$3</f>
        <v>( Add new test result )</v>
      </c>
      <c r="F64" s="244"/>
      <c r="G64" s="244"/>
      <c r="H64" s="104"/>
      <c r="I64" s="119"/>
    </row>
    <row r="65" spans="1:9" ht="30" x14ac:dyDescent="0.25">
      <c r="A65" s="52">
        <f>IF(AND(B65&lt;&gt;"",C65&lt;&gt;"",LEFT(B65,1)&lt;&gt;"#"),MAX($A$2:A64)+1,"")</f>
        <v>29</v>
      </c>
      <c r="B65" s="15" t="s">
        <v>160</v>
      </c>
      <c r="C65" s="87" t="s">
        <v>12</v>
      </c>
      <c r="D65" s="51"/>
      <c r="E65" s="56"/>
      <c r="F65" s="26" t="str">
        <f t="shared" ref="F65" ca="1" si="11">IF(E65&lt;&gt;"",NOW(),"")</f>
        <v/>
      </c>
      <c r="G65" s="69"/>
      <c r="H65" s="74"/>
      <c r="I65" s="246"/>
    </row>
    <row r="66" spans="1:9" x14ac:dyDescent="0.25">
      <c r="A66" s="58"/>
      <c r="B66" s="102" t="str">
        <f>$B$3</f>
        <v>( Add new test case )</v>
      </c>
      <c r="C66" s="99" t="str">
        <f>$C$3</f>
        <v>( Remove previous test result )</v>
      </c>
      <c r="D66" s="103"/>
      <c r="E66" s="244" t="str">
        <f>$E$3</f>
        <v>( Add new test result )</v>
      </c>
      <c r="F66" s="244"/>
      <c r="G66" s="244"/>
      <c r="H66" s="104"/>
      <c r="I66" s="66"/>
    </row>
    <row r="67" spans="1:9" ht="45" x14ac:dyDescent="0.25">
      <c r="A67" s="52">
        <f>IF(AND(B67&lt;&gt;"",C67&lt;&gt;"",LEFT(B67,1)&lt;&gt;"#"),MAX($A$2:A66)+1,"")</f>
        <v>30</v>
      </c>
      <c r="B67" s="15" t="s">
        <v>505</v>
      </c>
      <c r="C67" s="87" t="s">
        <v>225</v>
      </c>
      <c r="D67" s="51"/>
      <c r="E67" s="56"/>
      <c r="F67" s="26" t="str">
        <f t="shared" ref="F67" ca="1" si="12">IF(E67&lt;&gt;"",NOW(),"")</f>
        <v/>
      </c>
      <c r="G67" s="69"/>
      <c r="H67" s="74"/>
      <c r="I67" s="67"/>
    </row>
    <row r="68" spans="1:9" x14ac:dyDescent="0.25">
      <c r="A68" s="58"/>
      <c r="B68" s="102" t="str">
        <f>$B$3</f>
        <v>( Add new test case )</v>
      </c>
      <c r="C68" s="99" t="str">
        <f>$C$3</f>
        <v>( Remove previous test result )</v>
      </c>
      <c r="D68" s="103"/>
      <c r="E68" s="244" t="str">
        <f>$E$3</f>
        <v>( Add new test result )</v>
      </c>
      <c r="F68" s="244"/>
      <c r="G68" s="244"/>
      <c r="H68" s="104"/>
      <c r="I68" s="66"/>
    </row>
    <row r="69" spans="1:9" ht="60" x14ac:dyDescent="0.25">
      <c r="A69" s="52">
        <f>IF(AND(B69&lt;&gt;"",C69&lt;&gt;"",LEFT(B69,1)&lt;&gt;"#"),MAX($A$2:A68)+1,"")</f>
        <v>31</v>
      </c>
      <c r="B69" s="15" t="s">
        <v>506</v>
      </c>
      <c r="C69" s="87" t="s">
        <v>226</v>
      </c>
      <c r="D69" s="51"/>
      <c r="E69" s="56"/>
      <c r="F69" s="26"/>
      <c r="G69" s="69"/>
      <c r="H69" s="74"/>
      <c r="I69" s="67"/>
    </row>
    <row r="70" spans="1:9" x14ac:dyDescent="0.25">
      <c r="A70" s="58"/>
      <c r="B70" s="102" t="str">
        <f>$B$3</f>
        <v>( Add new test case )</v>
      </c>
      <c r="C70" s="99" t="str">
        <f>$C$3</f>
        <v>( Remove previous test result )</v>
      </c>
      <c r="D70" s="103"/>
      <c r="E70" s="244" t="str">
        <f>$E$3</f>
        <v>( Add new test result )</v>
      </c>
      <c r="F70" s="244"/>
      <c r="G70" s="244"/>
      <c r="H70" s="104"/>
      <c r="I70" s="66"/>
    </row>
    <row r="71" spans="1:9" ht="30" x14ac:dyDescent="0.25">
      <c r="A71" s="52">
        <f>IF(AND(B71&lt;&gt;"",C71&lt;&gt;"",LEFT(B71,1)&lt;&gt;"#"),MAX($A$2:A65)+1,"")</f>
        <v>30</v>
      </c>
      <c r="B71" s="93" t="s">
        <v>227</v>
      </c>
      <c r="C71" s="93" t="s">
        <v>228</v>
      </c>
      <c r="D71" s="51"/>
      <c r="E71" s="56"/>
      <c r="F71" s="26"/>
      <c r="G71" s="69"/>
      <c r="H71" s="74"/>
      <c r="I71" s="80"/>
    </row>
    <row r="72" spans="1:9" x14ac:dyDescent="0.25">
      <c r="A72" s="58"/>
      <c r="B72" s="102" t="str">
        <f>$B$3</f>
        <v>( Add new test case )</v>
      </c>
      <c r="C72" s="99" t="str">
        <f>$C$3</f>
        <v>( Remove previous test result )</v>
      </c>
      <c r="D72" s="103"/>
      <c r="E72" s="244" t="str">
        <f>$E$3</f>
        <v>( Add new test result )</v>
      </c>
      <c r="F72" s="244"/>
      <c r="G72" s="244"/>
      <c r="H72" s="104"/>
      <c r="I72" s="66"/>
    </row>
    <row r="73" spans="1:9" ht="30" x14ac:dyDescent="0.25">
      <c r="A73" s="78">
        <f>IF(AND(B73&lt;&gt;"",C73&lt;&gt;"",LEFT(B73,1)&lt;&gt;"#"),MAX($A$2:A72)+1,"")</f>
        <v>32</v>
      </c>
      <c r="B73" s="249" t="s">
        <v>229</v>
      </c>
      <c r="C73" s="250" t="s">
        <v>230</v>
      </c>
      <c r="D73" s="51"/>
      <c r="E73" s="131"/>
      <c r="F73" s="132"/>
      <c r="G73" s="133"/>
      <c r="H73" s="134"/>
      <c r="I73" s="251" t="s">
        <v>231</v>
      </c>
    </row>
    <row r="74" spans="1:9" x14ac:dyDescent="0.25">
      <c r="A74" s="58"/>
      <c r="B74" s="102" t="str">
        <f>$B$3</f>
        <v>( Add new test case )</v>
      </c>
      <c r="C74" s="99" t="str">
        <f>$C$3</f>
        <v>( Remove previous test result )</v>
      </c>
      <c r="D74" s="103"/>
      <c r="E74" s="244" t="str">
        <f>$E$3</f>
        <v>( Add new test result )</v>
      </c>
      <c r="F74" s="244"/>
      <c r="G74" s="244"/>
      <c r="H74" s="104"/>
      <c r="I74" s="66"/>
    </row>
    <row r="75" spans="1:9" ht="15.75" x14ac:dyDescent="0.25">
      <c r="A75" s="124" t="str">
        <f>IF(AND(B75&lt;&gt;"",C75&lt;&gt;"",LEFT(B75,1)&lt;&gt;"#"),MAX(#REF!)+1,"")</f>
        <v/>
      </c>
      <c r="B75" s="150" t="s">
        <v>68</v>
      </c>
      <c r="C75" s="125"/>
      <c r="D75" s="126"/>
      <c r="E75" s="127"/>
      <c r="F75" s="128"/>
      <c r="G75" s="128"/>
      <c r="H75" s="129"/>
      <c r="I75" s="130"/>
    </row>
    <row r="76" spans="1:9" ht="75" x14ac:dyDescent="0.25">
      <c r="A76" s="52">
        <f>IF(AND(B76&lt;&gt;"",C76&lt;&gt;"",LEFT(B76,1)&lt;&gt;"#"),MAX($A$2:A75)+1,"")</f>
        <v>33</v>
      </c>
      <c r="B76" s="20" t="s">
        <v>164</v>
      </c>
      <c r="C76" s="90" t="s">
        <v>13</v>
      </c>
      <c r="D76" s="51"/>
      <c r="E76" s="56"/>
      <c r="F76" s="26" t="str">
        <f t="shared" ref="F76" ca="1" si="13">IF(E76&lt;&gt;"",NOW(),"")</f>
        <v/>
      </c>
      <c r="G76" s="69"/>
      <c r="H76" s="74"/>
      <c r="I76" s="252"/>
    </row>
    <row r="77" spans="1:9" x14ac:dyDescent="0.25">
      <c r="A77" s="58"/>
      <c r="B77" s="102" t="str">
        <f>$B$3</f>
        <v>( Add new test case )</v>
      </c>
      <c r="C77" s="99" t="str">
        <f>$C$3</f>
        <v>( Remove previous test result )</v>
      </c>
      <c r="D77" s="103"/>
      <c r="E77" s="244" t="str">
        <f>$E$3</f>
        <v>( Add new test result )</v>
      </c>
      <c r="F77" s="244"/>
      <c r="G77" s="244"/>
      <c r="H77" s="104"/>
      <c r="I77" s="66"/>
    </row>
    <row r="78" spans="1:9" ht="30" x14ac:dyDescent="0.25">
      <c r="A78" s="52">
        <f>IF(AND(B78&lt;&gt;"",C78&lt;&gt;"",LEFT(B78,1)&lt;&gt;"#"),MAX($A$2:A77)+1,"")</f>
        <v>34</v>
      </c>
      <c r="B78" s="21" t="s">
        <v>507</v>
      </c>
      <c r="C78" s="91" t="s">
        <v>19</v>
      </c>
      <c r="D78" s="51"/>
      <c r="E78" s="56"/>
      <c r="F78" s="26" t="str">
        <f t="shared" ref="F78" ca="1" si="14">IF(E78&lt;&gt;"",NOW(),"")</f>
        <v/>
      </c>
      <c r="G78" s="69"/>
      <c r="H78" s="74"/>
      <c r="I78" s="67"/>
    </row>
    <row r="79" spans="1:9" x14ac:dyDescent="0.25">
      <c r="A79" s="58"/>
      <c r="B79" s="102" t="str">
        <f>$B$3</f>
        <v>( Add new test case )</v>
      </c>
      <c r="C79" s="99" t="str">
        <f>$C$3</f>
        <v>( Remove previous test result )</v>
      </c>
      <c r="D79" s="103"/>
      <c r="E79" s="244" t="str">
        <f>$E$3</f>
        <v>( Add new test result )</v>
      </c>
      <c r="F79" s="244"/>
      <c r="G79" s="244"/>
      <c r="H79" s="104"/>
      <c r="I79" s="66"/>
    </row>
    <row r="80" spans="1:9" ht="45" x14ac:dyDescent="0.25">
      <c r="A80" s="52">
        <f>IF(AND(B80&lt;&gt;"",C80&lt;&gt;"",LEFT(B80,1)&lt;&gt;"#"),MAX($A$2:A79)+1,"")</f>
        <v>35</v>
      </c>
      <c r="B80" s="21" t="s">
        <v>166</v>
      </c>
      <c r="C80" s="91" t="s">
        <v>14</v>
      </c>
      <c r="D80" s="51"/>
      <c r="E80" s="56"/>
      <c r="F80" s="26" t="str">
        <f t="shared" ref="F80" ca="1" si="15">IF(E80&lt;&gt;"",NOW(),"")</f>
        <v/>
      </c>
      <c r="G80" s="69"/>
      <c r="H80" s="74"/>
      <c r="I80" s="67"/>
    </row>
    <row r="81" spans="1:9" x14ac:dyDescent="0.25">
      <c r="A81" s="58"/>
      <c r="B81" s="102" t="str">
        <f>$B$3</f>
        <v>( Add new test case )</v>
      </c>
      <c r="C81" s="99" t="str">
        <f>$C$3</f>
        <v>( Remove previous test result )</v>
      </c>
      <c r="D81" s="103"/>
      <c r="E81" s="244" t="str">
        <f>$E$3</f>
        <v>( Add new test result )</v>
      </c>
      <c r="F81" s="244"/>
      <c r="G81" s="244"/>
      <c r="H81" s="104"/>
      <c r="I81" s="66"/>
    </row>
    <row r="82" spans="1:9" ht="30" x14ac:dyDescent="0.25">
      <c r="A82" s="52">
        <f>IF(AND(B82&lt;&gt;"",C82&lt;&gt;"",LEFT(B82,1)&lt;&gt;"#"),MAX($A$2:A81)+1,"")</f>
        <v>36</v>
      </c>
      <c r="B82" s="21" t="s">
        <v>167</v>
      </c>
      <c r="C82" s="91" t="s">
        <v>15</v>
      </c>
      <c r="D82" s="51"/>
      <c r="E82" s="56"/>
      <c r="F82" s="26" t="str">
        <f t="shared" ref="F82" ca="1" si="16">IF(E82&lt;&gt;"",NOW(),"")</f>
        <v/>
      </c>
      <c r="G82" s="69"/>
      <c r="H82" s="74"/>
      <c r="I82" s="67"/>
    </row>
    <row r="83" spans="1:9" x14ac:dyDescent="0.25">
      <c r="A83" s="58"/>
      <c r="B83" s="102" t="str">
        <f>$B$3</f>
        <v>( Add new test case )</v>
      </c>
      <c r="C83" s="99" t="str">
        <f>$C$3</f>
        <v>( Remove previous test result )</v>
      </c>
      <c r="D83" s="103"/>
      <c r="E83" s="244" t="str">
        <f>$E$3</f>
        <v>( Add new test result )</v>
      </c>
      <c r="F83" s="244"/>
      <c r="G83" s="244"/>
      <c r="H83" s="104"/>
      <c r="I83" s="66"/>
    </row>
    <row r="84" spans="1:9" ht="45" x14ac:dyDescent="0.25">
      <c r="A84" s="52">
        <f>IF(AND(B84&lt;&gt;"",C84&lt;&gt;"",LEFT(B84,1)&lt;&gt;"#"),MAX($A$2:A83)+1,"")</f>
        <v>37</v>
      </c>
      <c r="B84" s="21" t="s">
        <v>168</v>
      </c>
      <c r="C84" s="91" t="s">
        <v>16</v>
      </c>
      <c r="D84" s="51"/>
      <c r="E84" s="56"/>
      <c r="F84" s="26"/>
      <c r="G84" s="69"/>
      <c r="H84" s="74"/>
      <c r="I84" s="81"/>
    </row>
    <row r="85" spans="1:9" x14ac:dyDescent="0.25">
      <c r="A85" s="58"/>
      <c r="B85" s="102" t="str">
        <f>$B$3</f>
        <v>( Add new test case )</v>
      </c>
      <c r="C85" s="99" t="str">
        <f>$C$3</f>
        <v>( Remove previous test result )</v>
      </c>
      <c r="D85" s="103"/>
      <c r="E85" s="244" t="str">
        <f>$E$3</f>
        <v>( Add new test result )</v>
      </c>
      <c r="F85" s="244"/>
      <c r="G85" s="244"/>
      <c r="H85" s="104"/>
      <c r="I85" s="66"/>
    </row>
    <row r="86" spans="1:9" ht="45" x14ac:dyDescent="0.25">
      <c r="A86" s="52">
        <f>IF(AND(B86&lt;&gt;"",C86&lt;&gt;"",LEFT(B86,1)&lt;&gt;"#"),MAX($A$2:A80)+1,"")</f>
        <v>36</v>
      </c>
      <c r="B86" s="21" t="s">
        <v>169</v>
      </c>
      <c r="C86" s="91" t="s">
        <v>17</v>
      </c>
      <c r="D86" s="51"/>
      <c r="E86" s="56"/>
      <c r="F86" s="26"/>
      <c r="G86" s="69"/>
      <c r="H86" s="74"/>
      <c r="I86" s="67"/>
    </row>
    <row r="87" spans="1:9" x14ac:dyDescent="0.25">
      <c r="A87" s="58"/>
      <c r="B87" s="102" t="str">
        <f>$B$3</f>
        <v>( Add new test case )</v>
      </c>
      <c r="C87" s="99" t="str">
        <f>$C$3</f>
        <v>( Remove previous test result )</v>
      </c>
      <c r="D87" s="103"/>
      <c r="E87" s="244" t="str">
        <f>$E$3</f>
        <v>( Add new test result )</v>
      </c>
      <c r="F87" s="244"/>
      <c r="G87" s="244"/>
      <c r="H87" s="104"/>
      <c r="I87" s="66"/>
    </row>
    <row r="88" spans="1:9" ht="45" x14ac:dyDescent="0.25">
      <c r="A88" s="52">
        <f>IF(AND(B88&lt;&gt;"",C88&lt;&gt;"",LEFT(B88,1)&lt;&gt;"#"),MAX($A$2:A87)+1,"")</f>
        <v>38</v>
      </c>
      <c r="B88" s="21" t="s">
        <v>51</v>
      </c>
      <c r="C88" s="91" t="s">
        <v>18</v>
      </c>
      <c r="D88" s="51"/>
      <c r="E88" s="56"/>
      <c r="F88" s="26"/>
      <c r="G88" s="69"/>
      <c r="H88" s="74"/>
      <c r="I88" s="67"/>
    </row>
    <row r="89" spans="1:9" x14ac:dyDescent="0.25">
      <c r="A89" s="58"/>
      <c r="B89" s="102" t="str">
        <f>$B$3</f>
        <v>( Add new test case )</v>
      </c>
      <c r="C89" s="99" t="str">
        <f>$C$3</f>
        <v>( Remove previous test result )</v>
      </c>
      <c r="D89" s="103"/>
      <c r="E89" s="244" t="str">
        <f>$E$3</f>
        <v>( Add new test result )</v>
      </c>
      <c r="F89" s="244"/>
      <c r="G89" s="244"/>
      <c r="H89" s="104"/>
      <c r="I89" s="66"/>
    </row>
    <row r="90" spans="1:9" ht="15.75" x14ac:dyDescent="0.25">
      <c r="A90" s="124" t="str">
        <f>IF(AND(B90&lt;&gt;"",C90&lt;&gt;"",LEFT(B90,1)&lt;&gt;"#"),MAX(#REF!)+1,"")</f>
        <v/>
      </c>
      <c r="B90" s="150" t="s">
        <v>175</v>
      </c>
      <c r="C90" s="125"/>
      <c r="D90" s="126"/>
      <c r="E90" s="127"/>
      <c r="F90" s="128"/>
      <c r="G90" s="128"/>
      <c r="H90" s="129"/>
      <c r="I90" s="130"/>
    </row>
    <row r="91" spans="1:9" ht="30" x14ac:dyDescent="0.25">
      <c r="A91" s="52">
        <f>IF(AND(B91&lt;&gt;"",C91&lt;&gt;"",LEFT(B91,1)&lt;&gt;"#"),MAX($A$2:A89)+1,"")</f>
        <v>39</v>
      </c>
      <c r="B91" s="14" t="s">
        <v>508</v>
      </c>
      <c r="C91" s="86" t="s">
        <v>25</v>
      </c>
      <c r="D91" s="51"/>
      <c r="E91" s="56"/>
      <c r="F91" s="26" t="str">
        <f t="shared" ref="F91" ca="1" si="17">IF(E91&lt;&gt;"",NOW(),"")</f>
        <v/>
      </c>
      <c r="G91" s="69"/>
      <c r="H91" s="74"/>
      <c r="I91" s="65"/>
    </row>
    <row r="92" spans="1:9" x14ac:dyDescent="0.25">
      <c r="A92" s="58"/>
      <c r="B92" s="102" t="str">
        <f>$B$3</f>
        <v>( Add new test case )</v>
      </c>
      <c r="C92" s="99" t="str">
        <f>$C$3</f>
        <v>( Remove previous test result )</v>
      </c>
      <c r="D92" s="103"/>
      <c r="E92" s="244" t="str">
        <f>$E$3</f>
        <v>( Add new test result )</v>
      </c>
      <c r="F92" s="244"/>
      <c r="G92" s="244"/>
      <c r="H92" s="104"/>
      <c r="I92" s="66"/>
    </row>
    <row r="93" spans="1:9" ht="30" x14ac:dyDescent="0.25">
      <c r="A93" s="52">
        <f>IF(AND(B93&lt;&gt;"",C93&lt;&gt;"",LEFT(B93,1)&lt;&gt;"#"),MAX($A$2:A92)+1,"")</f>
        <v>40</v>
      </c>
      <c r="B93" s="15" t="s">
        <v>176</v>
      </c>
      <c r="C93" s="87" t="s">
        <v>20</v>
      </c>
      <c r="D93" s="51"/>
      <c r="E93" s="56"/>
      <c r="F93" s="26" t="str">
        <f t="shared" ref="F93" ca="1" si="18">IF(E93&lt;&gt;"",NOW(),"")</f>
        <v/>
      </c>
      <c r="G93" s="69"/>
      <c r="H93" s="74"/>
      <c r="I93" s="67"/>
    </row>
    <row r="94" spans="1:9" x14ac:dyDescent="0.25">
      <c r="A94" s="58"/>
      <c r="B94" s="102" t="str">
        <f>$B$3</f>
        <v>( Add new test case )</v>
      </c>
      <c r="C94" s="99" t="str">
        <f>$C$3</f>
        <v>( Remove previous test result )</v>
      </c>
      <c r="D94" s="103"/>
      <c r="E94" s="244" t="str">
        <f>$E$3</f>
        <v>( Add new test result )</v>
      </c>
      <c r="F94" s="244"/>
      <c r="G94" s="244"/>
      <c r="H94" s="104"/>
      <c r="I94" s="66"/>
    </row>
    <row r="95" spans="1:9" ht="60" x14ac:dyDescent="0.25">
      <c r="A95" s="52">
        <f>IF(AND(B95&lt;&gt;"",C95&lt;&gt;"",LEFT(B95,1)&lt;&gt;"#"),MAX($A$2:A94)+1,"")</f>
        <v>41</v>
      </c>
      <c r="B95" s="15" t="s">
        <v>177</v>
      </c>
      <c r="C95" s="87" t="s">
        <v>30</v>
      </c>
      <c r="D95" s="51"/>
      <c r="E95" s="56"/>
      <c r="F95" s="26" t="str">
        <f t="shared" ref="F95" ca="1" si="19">IF(E95&lt;&gt;"",NOW(),"")</f>
        <v/>
      </c>
      <c r="G95" s="69"/>
      <c r="H95" s="74"/>
      <c r="I95" s="67"/>
    </row>
    <row r="96" spans="1:9" x14ac:dyDescent="0.25">
      <c r="A96" s="58"/>
      <c r="B96" s="102" t="str">
        <f>$B$3</f>
        <v>( Add new test case )</v>
      </c>
      <c r="C96" s="99" t="str">
        <f>$C$3</f>
        <v>( Remove previous test result )</v>
      </c>
      <c r="D96" s="103"/>
      <c r="E96" s="244" t="str">
        <f>$E$3</f>
        <v>( Add new test result )</v>
      </c>
      <c r="F96" s="244"/>
      <c r="G96" s="244"/>
      <c r="H96" s="104"/>
      <c r="I96" s="66"/>
    </row>
    <row r="97" spans="1:9" ht="45" x14ac:dyDescent="0.25">
      <c r="A97" s="52">
        <f>IF(AND(B97&lt;&gt;"",C97&lt;&gt;"",LEFT(B97,1)&lt;&gt;"#"),MAX($A$2:A96)+1,"")</f>
        <v>42</v>
      </c>
      <c r="B97" s="15" t="s">
        <v>178</v>
      </c>
      <c r="C97" s="87" t="s">
        <v>21</v>
      </c>
      <c r="D97" s="51"/>
      <c r="E97" s="56"/>
      <c r="F97" s="26"/>
      <c r="G97" s="69"/>
      <c r="H97" s="74"/>
      <c r="I97" s="246" t="s">
        <v>235</v>
      </c>
    </row>
    <row r="98" spans="1:9" x14ac:dyDescent="0.25">
      <c r="A98" s="58"/>
      <c r="B98" s="102" t="str">
        <f>$B$3</f>
        <v>( Add new test case )</v>
      </c>
      <c r="C98" s="99" t="str">
        <f>$C$3</f>
        <v>( Remove previous test result )</v>
      </c>
      <c r="D98" s="103"/>
      <c r="E98" s="244" t="str">
        <f>$E$3</f>
        <v>( Add new test result )</v>
      </c>
      <c r="F98" s="244"/>
      <c r="G98" s="244"/>
      <c r="H98" s="104"/>
      <c r="I98" s="66"/>
    </row>
    <row r="99" spans="1:9" ht="60" x14ac:dyDescent="0.25">
      <c r="A99" s="52">
        <f>IF(AND(B99&lt;&gt;"",C99&lt;&gt;"",LEFT(B99,1)&lt;&gt;"#"),MAX($A$2:A93)+1,"")</f>
        <v>41</v>
      </c>
      <c r="B99" s="15" t="s">
        <v>509</v>
      </c>
      <c r="C99" s="87" t="s">
        <v>63</v>
      </c>
      <c r="D99" s="154"/>
      <c r="E99" s="56"/>
      <c r="F99" s="26"/>
      <c r="G99" s="69"/>
      <c r="H99" s="74"/>
      <c r="I99" s="67"/>
    </row>
    <row r="100" spans="1:9" x14ac:dyDescent="0.25">
      <c r="A100" s="121"/>
      <c r="B100" s="122" t="str">
        <f>$B$3</f>
        <v>( Add new test case )</v>
      </c>
      <c r="C100" s="123" t="str">
        <f>$C$3</f>
        <v>( Remove previous test result )</v>
      </c>
      <c r="D100" s="103"/>
      <c r="E100" s="244" t="str">
        <f>$E$3</f>
        <v>( Add new test result )</v>
      </c>
      <c r="F100" s="244"/>
      <c r="G100" s="244"/>
      <c r="H100" s="104"/>
      <c r="I100" s="83"/>
    </row>
    <row r="101" spans="1:9" ht="15.75" x14ac:dyDescent="0.25">
      <c r="A101" s="124" t="str">
        <f>IF(AND(B101&lt;&gt;"",C101&lt;&gt;"",LEFT(B101,1)&lt;&gt;"#"),MAX($A$2:A27)+1,"")</f>
        <v/>
      </c>
      <c r="B101" s="151" t="s">
        <v>474</v>
      </c>
      <c r="C101" s="125"/>
      <c r="D101" s="126"/>
      <c r="E101" s="127"/>
      <c r="F101" s="128"/>
      <c r="G101" s="128"/>
      <c r="H101" s="129"/>
      <c r="I101" s="130"/>
    </row>
    <row r="102" spans="1:9" ht="30" x14ac:dyDescent="0.25">
      <c r="A102" s="53" t="str">
        <f>IF(AND(B102&lt;&gt;"",C102&lt;&gt;"",LEFT(B102,1)&lt;&gt;"#"),MAX($A$2:A101)+1,"")</f>
        <v/>
      </c>
      <c r="B102" s="14" t="s">
        <v>510</v>
      </c>
      <c r="C102" s="14" t="s">
        <v>32</v>
      </c>
      <c r="D102" s="51"/>
      <c r="E102" s="56"/>
      <c r="F102" s="26" t="str">
        <f t="shared" ref="F102" ca="1" si="20">IF(E102&lt;&gt;"",NOW(),"")</f>
        <v/>
      </c>
      <c r="G102" s="69"/>
      <c r="H102" s="74"/>
      <c r="I102" s="68"/>
    </row>
    <row r="103" spans="1:9" x14ac:dyDescent="0.25">
      <c r="A103" s="121"/>
      <c r="B103" s="122" t="str">
        <f>$B$3</f>
        <v>( Add new test case )</v>
      </c>
      <c r="C103" s="123" t="str">
        <f>$C$3</f>
        <v>( Remove previous test result )</v>
      </c>
      <c r="D103" s="103"/>
      <c r="E103" s="244" t="str">
        <f>$E$3</f>
        <v>( Add new test result )</v>
      </c>
      <c r="F103" s="244"/>
      <c r="G103" s="244"/>
      <c r="H103" s="104"/>
      <c r="I103" s="83"/>
    </row>
    <row r="104" spans="1:9" ht="15.75" x14ac:dyDescent="0.25">
      <c r="A104" s="124" t="str">
        <f>IF(AND(B104&lt;&gt;"",C104&lt;&gt;"",LEFT(B104,1)&lt;&gt;"#"),MAX($A$2:A103)+1,"")</f>
        <v/>
      </c>
      <c r="B104" s="150" t="s">
        <v>69</v>
      </c>
      <c r="C104" s="125"/>
      <c r="D104" s="126"/>
      <c r="E104" s="127"/>
      <c r="F104" s="128"/>
      <c r="G104" s="128"/>
      <c r="H104" s="129"/>
      <c r="I104" s="130"/>
    </row>
    <row r="105" spans="1:9" ht="30" x14ac:dyDescent="0.25">
      <c r="A105" s="53" t="str">
        <f>IF(AND(B105&lt;&gt;"",C105&lt;&gt;"",LEFT(B105,1)&lt;&gt;"#"),MAX($A$2:A104)+1,"")</f>
        <v/>
      </c>
      <c r="B105" s="14" t="s">
        <v>511</v>
      </c>
      <c r="C105" s="14" t="s">
        <v>32</v>
      </c>
      <c r="D105" s="51"/>
      <c r="E105" s="56"/>
      <c r="F105" s="26"/>
      <c r="G105" s="69"/>
      <c r="H105" s="74"/>
      <c r="I105" s="68"/>
    </row>
    <row r="106" spans="1:9" x14ac:dyDescent="0.25">
      <c r="A106" s="58"/>
      <c r="B106" s="102" t="str">
        <f>$B$3</f>
        <v>( Add new test case )</v>
      </c>
      <c r="C106" s="99" t="str">
        <f>$C$3</f>
        <v>( Remove previous test result )</v>
      </c>
      <c r="D106" s="103"/>
      <c r="E106" s="244" t="str">
        <f>$E$3</f>
        <v>( Add new test result )</v>
      </c>
      <c r="F106" s="244"/>
      <c r="G106" s="244"/>
      <c r="H106" s="104"/>
      <c r="I106" s="66"/>
    </row>
  </sheetData>
  <sheetProtection algorithmName="SHA-512" hashValue="I0aTmTCHHhG9K7QHYvQXSJNUmMcvSMheInWMEMK5OGC7+wxsRNcef43owwKpaodHcFwNp7B8CUnapS+2oBhssg==" saltValue="5l2My+yJFg76wDHmlddWpA==" spinCount="100000" sheet="1" objects="1" scenarios="1" selectLockedCells="1" sort="0" autoFilter="0"/>
  <protectedRanges>
    <protectedRange password="DDDF" sqref="A1:XFD4 A108:XFD1048576" name="courseadmin" securityDescriptor="O:WDG:WDD:(A;;CC;;;S-1-5-21-1065746463-197919211-1947940980-1133)(A;;CC;;;S-1-5-21-1065746463-197919211-1947940980-1272)(A;;CC;;;S-1-5-21-1065746463-197919211-1947940980-1303)(A;;CC;;;S-1-5-21-1065746463-197919211-1947940980-1127)"/>
    <protectedRange password="DDDF" sqref="A5:XFD107"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63" priority="15" stopIfTrue="1">
      <formula>LEFT($D5,1)="W"</formula>
    </cfRule>
  </conditionalFormatting>
  <conditionalFormatting sqref="D105 D102">
    <cfRule type="expression" dxfId="62" priority="14" stopIfTrue="1">
      <formula>LEFT($D102,1)="W"</formula>
    </cfRule>
  </conditionalFormatting>
  <conditionalFormatting sqref="D7">
    <cfRule type="expression" dxfId="61" priority="13" stopIfTrue="1">
      <formula>LEFT($D7,1)="W"</formula>
    </cfRule>
  </conditionalFormatting>
  <conditionalFormatting sqref="D28 D25 D23 D21 D19 D17 D15 D11 D9">
    <cfRule type="expression" dxfId="60" priority="12" stopIfTrue="1">
      <formula>LEFT($D9,1)="W"</formula>
    </cfRule>
  </conditionalFormatting>
  <conditionalFormatting sqref="D40 D38 D36 D34 D32 D30">
    <cfRule type="expression" dxfId="59" priority="11" stopIfTrue="1">
      <formula>LEFT($D30,1)="W"</formula>
    </cfRule>
  </conditionalFormatting>
  <conditionalFormatting sqref="D69 D67 D65 D63 D61 D59">
    <cfRule type="expression" dxfId="58" priority="9" stopIfTrue="1">
      <formula>LEFT($D59,1)="W"</formula>
    </cfRule>
  </conditionalFormatting>
  <conditionalFormatting sqref="D57 D50 D48 D46 D44 D42">
    <cfRule type="expression" dxfId="57" priority="10" stopIfTrue="1">
      <formula>LEFT($D42,1)="W"</formula>
    </cfRule>
  </conditionalFormatting>
  <conditionalFormatting sqref="D13">
    <cfRule type="expression" dxfId="56" priority="8" stopIfTrue="1">
      <formula>LEFT($D13,1)="W"</formula>
    </cfRule>
  </conditionalFormatting>
  <conditionalFormatting sqref="D52">
    <cfRule type="expression" dxfId="55" priority="7" stopIfTrue="1">
      <formula>LEFT($D52,1)="W"</formula>
    </cfRule>
  </conditionalFormatting>
  <conditionalFormatting sqref="D54">
    <cfRule type="expression" dxfId="54" priority="6" stopIfTrue="1">
      <formula>LEFT($D54,1)="W"</formula>
    </cfRule>
  </conditionalFormatting>
  <conditionalFormatting sqref="D84 D82 D80 D78 D76 D73">
    <cfRule type="expression" dxfId="53" priority="4" stopIfTrue="1">
      <formula>LEFT($D73,1)="W"</formula>
    </cfRule>
  </conditionalFormatting>
  <conditionalFormatting sqref="D71">
    <cfRule type="expression" dxfId="52" priority="5" stopIfTrue="1">
      <formula>LEFT($D71,1)="W"</formula>
    </cfRule>
  </conditionalFormatting>
  <conditionalFormatting sqref="D97 D95 D93 D91 D88">
    <cfRule type="expression" dxfId="51" priority="2" stopIfTrue="1">
      <formula>LEFT($D88,1)="W"</formula>
    </cfRule>
  </conditionalFormatting>
  <conditionalFormatting sqref="D86">
    <cfRule type="expression" dxfId="50" priority="3" stopIfTrue="1">
      <formula>LEFT($D86,1)="W"</formula>
    </cfRule>
  </conditionalFormatting>
  <conditionalFormatting sqref="D99">
    <cfRule type="expression" dxfId="49" priority="1" stopIfTrue="1">
      <formula>LEFT($D99,1)="W"</formula>
    </cfRule>
  </conditionalFormatting>
  <dataValidations count="3">
    <dataValidation type="list" allowBlank="1" showInputMessage="1" showErrorMessage="1" sqref="H9 H59 H15 H17 H19 H73 H7 H30 H42 H11 H13 H88 H5">
      <formula1>ValidPhaseQualifiers</formula1>
    </dataValidation>
    <dataValidation type="list" allowBlank="1" showInputMessage="1" showErrorMessage="1" sqref="G102:H102 G105:H105 G23:H23 G25:H25 G9 G69:H69 G15 G17 G21:H21 G19 G28:H28 G73 G7 G34:H34 G38:H38 G36:H36 G32:H32 G30 G40:H40 G46:H46 G50:H50 G48:H48 G44:H44 G42 G57:H57 G63:H63 G67:H67 G65:H65 G61:H61 G59 G11 G13 G52:H52 G54:H54 G84:H84 G71:H71 G78:H78 G82:H82 G80:H80 G76:H76 G97:H97 G86:H86 G91:H91 G95:H95 G93:H93 G88 G99:H99 G5">
      <formula1>ValidPhases</formula1>
    </dataValidation>
    <dataValidation type="list" allowBlank="1" showInputMessage="1" showErrorMessage="1" sqref="E102 E9 E69 E15 E17 E21 E23 E25 E105 E19 E28 E73 E7 E32 E34 E36 E38 E30 E40 E44 E46 E48 E50 E42 E57 E61 E63 E65 E67 E59 E11 E13 E52 E54 E84 E71 E76 E78 E80 E82 E97 E86 E91 E93 E95 E88 E99 E5">
      <formula1>ValidStatus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I88"/>
  <sheetViews>
    <sheetView showGridLines="0" workbookViewId="0">
      <pane ySplit="2" topLeftCell="A3" activePane="bottomLeft" state="frozen"/>
      <selection pane="bottomLeft" activeCell="B21" sqref="B21"/>
    </sheetView>
  </sheetViews>
  <sheetFormatPr defaultRowHeight="15" x14ac:dyDescent="0.25"/>
  <cols>
    <col min="1" max="1" width="9.140625" style="54"/>
    <col min="2" max="2" width="31.28515625" style="2" customWidth="1"/>
    <col min="3" max="3" width="69.140625" style="117"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TestingDetail-cim-programadmin</v>
      </c>
      <c r="B1" s="229"/>
      <c r="C1" s="230" t="str">
        <f>ProjectSummary!$D$1</f>
        <v xml:space="preserve"> -  /</v>
      </c>
      <c r="D1" s="230"/>
      <c r="E1" s="230"/>
      <c r="F1" s="230"/>
      <c r="G1" s="203"/>
      <c r="H1" s="204"/>
      <c r="I1" s="205"/>
    </row>
    <row r="2" spans="1:9" s="77" customFormat="1" ht="33" thickTop="1" thickBot="1" x14ac:dyDescent="0.3">
      <c r="A2" s="243" t="s">
        <v>489</v>
      </c>
      <c r="B2" s="206" t="s">
        <v>126</v>
      </c>
      <c r="C2" s="213" t="s">
        <v>0</v>
      </c>
      <c r="D2" s="208" t="s">
        <v>62</v>
      </c>
      <c r="E2" s="208" t="s">
        <v>61</v>
      </c>
      <c r="F2" s="209" t="s">
        <v>58</v>
      </c>
      <c r="G2" s="210" t="s">
        <v>201</v>
      </c>
      <c r="H2" s="211" t="s">
        <v>202</v>
      </c>
      <c r="I2" s="212" t="s">
        <v>60</v>
      </c>
    </row>
    <row r="3" spans="1:9" s="25" customFormat="1" ht="19.5" hidden="1" customHeight="1" thickTop="1" x14ac:dyDescent="0.25">
      <c r="A3" s="71"/>
      <c r="B3" s="135" t="s">
        <v>206</v>
      </c>
      <c r="C3" s="136" t="s">
        <v>204</v>
      </c>
      <c r="D3" s="103"/>
      <c r="E3" s="244" t="s">
        <v>205</v>
      </c>
      <c r="F3" s="244"/>
      <c r="G3" s="244"/>
      <c r="H3" s="104"/>
      <c r="I3" s="72"/>
    </row>
    <row r="4" spans="1:9" s="73" customFormat="1" ht="16.5" thickTop="1" x14ac:dyDescent="0.25">
      <c r="A4" s="124" t="str">
        <f>IF(AND(B4&lt;&gt;"",C4&lt;&gt;"",LEFT(B4,1)&lt;&gt;"#"),MAX(#REF!)+1,"")</f>
        <v/>
      </c>
      <c r="B4" s="150" t="s">
        <v>471</v>
      </c>
      <c r="C4" s="139"/>
      <c r="D4" s="126"/>
      <c r="E4" s="127"/>
      <c r="F4" s="128"/>
      <c r="G4" s="128"/>
      <c r="H4" s="129"/>
      <c r="I4" s="130"/>
    </row>
    <row r="5" spans="1:9" ht="30" x14ac:dyDescent="0.25">
      <c r="A5" s="52">
        <f>IF(AND(B5&lt;&gt;"",C5&lt;&gt;"",LEFT(B5,1)&lt;&gt;"#"),MAX($A$2:A4)+1,"")</f>
        <v>1</v>
      </c>
      <c r="B5" s="14" t="s">
        <v>1</v>
      </c>
      <c r="C5" s="106" t="s">
        <v>2</v>
      </c>
      <c r="D5" s="51"/>
      <c r="E5" s="56"/>
      <c r="F5" s="26"/>
      <c r="G5" s="69"/>
      <c r="H5" s="74"/>
      <c r="I5" s="67"/>
    </row>
    <row r="6" spans="1:9" x14ac:dyDescent="0.25">
      <c r="A6" s="58"/>
      <c r="B6" s="102" t="str">
        <f>$B$3</f>
        <v>( Add new test case )</v>
      </c>
      <c r="C6" s="105" t="str">
        <f>$C$3</f>
        <v>( Remove previous test result )</v>
      </c>
      <c r="D6" s="103"/>
      <c r="E6" s="244" t="str">
        <f>$E$3</f>
        <v>( Add new test result )</v>
      </c>
      <c r="F6" s="244"/>
      <c r="G6" s="244"/>
      <c r="H6" s="104"/>
      <c r="I6" s="66"/>
    </row>
    <row r="7" spans="1:9" ht="30" x14ac:dyDescent="0.25">
      <c r="A7" s="52">
        <f>IF(AND(B7&lt;&gt;"",C7&lt;&gt;"",LEFT(B7,1)&lt;&gt;"#"),MAX($A$2:A6)+1,"")</f>
        <v>2</v>
      </c>
      <c r="B7" s="14" t="s">
        <v>127</v>
      </c>
      <c r="C7" s="106" t="s">
        <v>135</v>
      </c>
      <c r="D7" s="51"/>
      <c r="E7" s="56"/>
      <c r="F7" s="26"/>
      <c r="G7" s="69"/>
      <c r="H7" s="74"/>
      <c r="I7" s="67"/>
    </row>
    <row r="8" spans="1:9" x14ac:dyDescent="0.25">
      <c r="A8" s="58"/>
      <c r="B8" s="102" t="str">
        <f>$B$3</f>
        <v>( Add new test case )</v>
      </c>
      <c r="C8" s="105" t="str">
        <f>$C$3</f>
        <v>( Remove previous test result )</v>
      </c>
      <c r="D8" s="103"/>
      <c r="E8" s="244" t="str">
        <f>$E$3</f>
        <v>( Add new test result )</v>
      </c>
      <c r="F8" s="244"/>
      <c r="G8" s="244"/>
      <c r="H8" s="104"/>
      <c r="I8" s="66"/>
    </row>
    <row r="9" spans="1:9" ht="30" x14ac:dyDescent="0.25">
      <c r="A9" s="52">
        <f>IF(AND(B9&lt;&gt;"",C9&lt;&gt;"",LEFT(B9,1)&lt;&gt;"#"),MAX($A$2:A8)+1,"")</f>
        <v>3</v>
      </c>
      <c r="B9" s="15" t="s">
        <v>128</v>
      </c>
      <c r="C9" s="107" t="s">
        <v>136</v>
      </c>
      <c r="D9" s="51"/>
      <c r="E9" s="56"/>
      <c r="F9" s="26"/>
      <c r="G9" s="69"/>
      <c r="H9" s="74"/>
      <c r="I9" s="67"/>
    </row>
    <row r="10" spans="1:9" x14ac:dyDescent="0.25">
      <c r="A10" s="58"/>
      <c r="B10" s="102" t="str">
        <f>$B$3</f>
        <v>( Add new test case )</v>
      </c>
      <c r="C10" s="105" t="str">
        <f>$C$3</f>
        <v>( Remove previous test result )</v>
      </c>
      <c r="D10" s="103"/>
      <c r="E10" s="244" t="str">
        <f>$E$3</f>
        <v>( Add new test result )</v>
      </c>
      <c r="F10" s="244"/>
      <c r="G10" s="244"/>
      <c r="H10" s="104"/>
      <c r="I10" s="66"/>
    </row>
    <row r="11" spans="1:9" ht="30" x14ac:dyDescent="0.25">
      <c r="A11" s="52">
        <f>IF(AND(B11&lt;&gt;"",C11&lt;&gt;"",LEFT(B11,1)&lt;&gt;"#"),MAX($A$2:A10)+1,"")</f>
        <v>4</v>
      </c>
      <c r="B11" s="15" t="s">
        <v>129</v>
      </c>
      <c r="C11" s="107" t="s">
        <v>137</v>
      </c>
      <c r="D11" s="51"/>
      <c r="E11" s="56"/>
      <c r="F11" s="26"/>
      <c r="G11" s="69"/>
      <c r="H11" s="74"/>
      <c r="I11" s="67"/>
    </row>
    <row r="12" spans="1:9" x14ac:dyDescent="0.25">
      <c r="A12" s="58"/>
      <c r="B12" s="102" t="str">
        <f>$B$3</f>
        <v>( Add new test case )</v>
      </c>
      <c r="C12" s="105" t="str">
        <f>$C$3</f>
        <v>( Remove previous test result )</v>
      </c>
      <c r="D12" s="103"/>
      <c r="E12" s="244" t="str">
        <f>$E$3</f>
        <v>( Add new test result )</v>
      </c>
      <c r="F12" s="244"/>
      <c r="G12" s="244"/>
      <c r="H12" s="104"/>
      <c r="I12" s="66"/>
    </row>
    <row r="13" spans="1:9" ht="30" x14ac:dyDescent="0.25">
      <c r="A13" s="52">
        <f>IF(AND(B13&lt;&gt;"",C13&lt;&gt;"",LEFT(B13,1)&lt;&gt;"#"),MAX($A$2:A12)+1,"")</f>
        <v>5</v>
      </c>
      <c r="B13" s="15" t="s">
        <v>130</v>
      </c>
      <c r="C13" s="107" t="s">
        <v>138</v>
      </c>
      <c r="D13" s="51"/>
      <c r="E13" s="56"/>
      <c r="F13" s="26"/>
      <c r="G13" s="69"/>
      <c r="H13" s="74"/>
      <c r="I13" s="67"/>
    </row>
    <row r="14" spans="1:9" x14ac:dyDescent="0.25">
      <c r="A14" s="58"/>
      <c r="B14" s="102" t="str">
        <f>$B$3</f>
        <v>( Add new test case )</v>
      </c>
      <c r="C14" s="105" t="str">
        <f>$C$3</f>
        <v>( Remove previous test result )</v>
      </c>
      <c r="D14" s="103"/>
      <c r="E14" s="244" t="str">
        <f>$E$3</f>
        <v>( Add new test result )</v>
      </c>
      <c r="F14" s="244"/>
      <c r="G14" s="244"/>
      <c r="H14" s="104"/>
      <c r="I14" s="66"/>
    </row>
    <row r="15" spans="1:9" ht="45" x14ac:dyDescent="0.25">
      <c r="A15" s="52">
        <f>IF(AND(B15&lt;&gt;"",C15&lt;&gt;"",LEFT(B15,1)&lt;&gt;"#"),MAX($A$2:A14)+1,"")</f>
        <v>6</v>
      </c>
      <c r="B15" s="15" t="s">
        <v>131</v>
      </c>
      <c r="C15" s="107" t="s">
        <v>139</v>
      </c>
      <c r="D15" s="51"/>
      <c r="E15" s="56"/>
      <c r="F15" s="26" t="str">
        <f t="shared" ref="F15:F23" ca="1" si="0">IF(E15&lt;&gt;"",NOW(),"")</f>
        <v/>
      </c>
      <c r="G15" s="69"/>
      <c r="H15" s="74"/>
      <c r="I15" s="67"/>
    </row>
    <row r="16" spans="1:9" x14ac:dyDescent="0.25">
      <c r="A16" s="58"/>
      <c r="B16" s="102" t="str">
        <f>$B$3</f>
        <v>( Add new test case )</v>
      </c>
      <c r="C16" s="105" t="str">
        <f>$C$3</f>
        <v>( Remove previous test result )</v>
      </c>
      <c r="D16" s="103"/>
      <c r="E16" s="244" t="str">
        <f>$E$3</f>
        <v>( Add new test result )</v>
      </c>
      <c r="F16" s="244"/>
      <c r="G16" s="244"/>
      <c r="H16" s="104"/>
      <c r="I16" s="66"/>
    </row>
    <row r="17" spans="1:9" ht="60" x14ac:dyDescent="0.25">
      <c r="A17" s="52">
        <f>IF(AND(B17&lt;&gt;"",C17&lt;&gt;"",LEFT(B17,1)&lt;&gt;"#"),MAX($A$2:A16)+1,"")</f>
        <v>7</v>
      </c>
      <c r="B17" s="15" t="s">
        <v>140</v>
      </c>
      <c r="C17" s="107" t="s">
        <v>141</v>
      </c>
      <c r="D17" s="51"/>
      <c r="E17" s="56"/>
      <c r="F17" s="26"/>
      <c r="G17" s="69"/>
      <c r="H17" s="74"/>
      <c r="I17" s="67"/>
    </row>
    <row r="18" spans="1:9" x14ac:dyDescent="0.25">
      <c r="A18" s="58"/>
      <c r="B18" s="102" t="str">
        <f>$B$3</f>
        <v>( Add new test case )</v>
      </c>
      <c r="C18" s="105" t="str">
        <f>$C$3</f>
        <v>( Remove previous test result )</v>
      </c>
      <c r="D18" s="103"/>
      <c r="E18" s="244" t="str">
        <f>$E$3</f>
        <v>( Add new test result )</v>
      </c>
      <c r="F18" s="244"/>
      <c r="G18" s="244"/>
      <c r="H18" s="104"/>
      <c r="I18" s="66"/>
    </row>
    <row r="19" spans="1:9" ht="30" x14ac:dyDescent="0.25">
      <c r="A19" s="52">
        <f>IF(AND(B19&lt;&gt;"",C19&lt;&gt;"",LEFT(B19,1)&lt;&gt;"#"),MAX($A$2:A18)+1,"")</f>
        <v>8</v>
      </c>
      <c r="B19" s="16" t="s">
        <v>132</v>
      </c>
      <c r="C19" s="108" t="s">
        <v>22</v>
      </c>
      <c r="D19" s="51"/>
      <c r="E19" s="56"/>
      <c r="F19" s="26" t="str">
        <f t="shared" ca="1" si="0"/>
        <v/>
      </c>
      <c r="G19" s="69"/>
      <c r="H19" s="74"/>
      <c r="I19" s="67"/>
    </row>
    <row r="20" spans="1:9" x14ac:dyDescent="0.25">
      <c r="A20" s="58"/>
      <c r="B20" s="102" t="str">
        <f>$B$3</f>
        <v>( Add new test case )</v>
      </c>
      <c r="C20" s="105" t="str">
        <f>$C$3</f>
        <v>( Remove previous test result )</v>
      </c>
      <c r="D20" s="103"/>
      <c r="E20" s="244" t="str">
        <f>$E$3</f>
        <v>( Add new test result )</v>
      </c>
      <c r="F20" s="244"/>
      <c r="G20" s="244"/>
      <c r="H20" s="104"/>
      <c r="I20" s="66"/>
    </row>
    <row r="21" spans="1:9" ht="60" x14ac:dyDescent="0.25">
      <c r="A21" s="52">
        <f>IF(AND(B21&lt;&gt;"",C21&lt;&gt;"",LEFT(B21,1)&lt;&gt;"#"),MAX($A$2:A20)+1,"")</f>
        <v>9</v>
      </c>
      <c r="B21" s="17" t="s">
        <v>142</v>
      </c>
      <c r="C21" s="109" t="s">
        <v>143</v>
      </c>
      <c r="D21" s="51"/>
      <c r="E21" s="56"/>
      <c r="F21" s="26" t="str">
        <f t="shared" ca="1" si="0"/>
        <v/>
      </c>
      <c r="G21" s="69"/>
      <c r="H21" s="74"/>
      <c r="I21" s="67"/>
    </row>
    <row r="22" spans="1:9" x14ac:dyDescent="0.25">
      <c r="A22" s="58"/>
      <c r="B22" s="102" t="str">
        <f>$B$3</f>
        <v>( Add new test case )</v>
      </c>
      <c r="C22" s="105" t="str">
        <f>$C$3</f>
        <v>( Remove previous test result )</v>
      </c>
      <c r="D22" s="103"/>
      <c r="E22" s="244" t="str">
        <f>$E$3</f>
        <v>( Add new test result )</v>
      </c>
      <c r="F22" s="244"/>
      <c r="G22" s="244"/>
      <c r="H22" s="104"/>
      <c r="I22" s="66"/>
    </row>
    <row r="23" spans="1:9" ht="45" x14ac:dyDescent="0.25">
      <c r="A23" s="52">
        <f>IF(AND(B23&lt;&gt;"",C23&lt;&gt;"",LEFT(B23,1)&lt;&gt;"#"),MAX($A$2:A22)+1,"")</f>
        <v>10</v>
      </c>
      <c r="B23" s="16" t="s">
        <v>133</v>
      </c>
      <c r="C23" s="108" t="s">
        <v>27</v>
      </c>
      <c r="D23" s="51"/>
      <c r="E23" s="56"/>
      <c r="F23" s="26" t="str">
        <f t="shared" ca="1" si="0"/>
        <v/>
      </c>
      <c r="G23" s="69"/>
      <c r="H23" s="74"/>
      <c r="I23" s="67"/>
    </row>
    <row r="24" spans="1:9" x14ac:dyDescent="0.25">
      <c r="A24" s="58"/>
      <c r="B24" s="102" t="str">
        <f>$B$3</f>
        <v>( Add new test case )</v>
      </c>
      <c r="C24" s="105" t="str">
        <f>$C$3</f>
        <v>( Remove previous test result )</v>
      </c>
      <c r="D24" s="103"/>
      <c r="E24" s="244" t="str">
        <f>$E$3</f>
        <v>( Add new test result )</v>
      </c>
      <c r="F24" s="244"/>
      <c r="G24" s="244"/>
      <c r="H24" s="104"/>
      <c r="I24" s="66"/>
    </row>
    <row r="25" spans="1:9" ht="15.75" x14ac:dyDescent="0.25">
      <c r="A25" s="124" t="str">
        <f>IF(AND(B25&lt;&gt;"",C25&lt;&gt;"",LEFT(B25,1)&lt;&gt;"#"),MAX(#REF!)+1,"")</f>
        <v/>
      </c>
      <c r="B25" s="150" t="s">
        <v>134</v>
      </c>
      <c r="C25" s="139"/>
      <c r="D25" s="126"/>
      <c r="E25" s="127"/>
      <c r="F25" s="128"/>
      <c r="G25" s="128"/>
      <c r="H25" s="129"/>
      <c r="I25" s="130"/>
    </row>
    <row r="26" spans="1:9" ht="30" x14ac:dyDescent="0.25">
      <c r="A26" s="52">
        <f>IF(AND(B26&lt;&gt;"",C26&lt;&gt;"",LEFT(B26,1)&lt;&gt;"#"),MAX($A$2:A24)+1,"")</f>
        <v>11</v>
      </c>
      <c r="B26" s="18" t="s">
        <v>144</v>
      </c>
      <c r="C26" s="110" t="s">
        <v>26</v>
      </c>
      <c r="D26" s="51"/>
      <c r="E26" s="56"/>
      <c r="F26" s="26"/>
      <c r="G26" s="69"/>
      <c r="H26" s="74"/>
      <c r="I26" s="65"/>
    </row>
    <row r="27" spans="1:9" x14ac:dyDescent="0.25">
      <c r="A27" s="58"/>
      <c r="B27" s="102" t="str">
        <f>$B$3</f>
        <v>( Add new test case )</v>
      </c>
      <c r="C27" s="105" t="str">
        <f>$C$3</f>
        <v>( Remove previous test result )</v>
      </c>
      <c r="D27" s="103"/>
      <c r="E27" s="244" t="str">
        <f>$E$3</f>
        <v>( Add new test result )</v>
      </c>
      <c r="F27" s="244"/>
      <c r="G27" s="244"/>
      <c r="H27" s="104"/>
      <c r="I27" s="66"/>
    </row>
    <row r="28" spans="1:9" ht="60" x14ac:dyDescent="0.25">
      <c r="A28" s="52">
        <f>IF(AND(B28&lt;&gt;"",C28&lt;&gt;"",LEFT(B28,1)&lt;&gt;"#"),MAX($A$2:A27)+1,"")</f>
        <v>12</v>
      </c>
      <c r="B28" s="19" t="s">
        <v>145</v>
      </c>
      <c r="C28" s="111" t="s">
        <v>146</v>
      </c>
      <c r="D28" s="51"/>
      <c r="E28" s="56"/>
      <c r="F28" s="26"/>
      <c r="G28" s="69"/>
      <c r="H28" s="74"/>
      <c r="I28" s="246"/>
    </row>
    <row r="29" spans="1:9" x14ac:dyDescent="0.25">
      <c r="A29" s="58"/>
      <c r="B29" s="102" t="str">
        <f>$B$3</f>
        <v>( Add new test case )</v>
      </c>
      <c r="C29" s="105" t="str">
        <f>$C$3</f>
        <v>( Remove previous test result )</v>
      </c>
      <c r="D29" s="103"/>
      <c r="E29" s="244" t="str">
        <f>$E$3</f>
        <v>( Add new test result )</v>
      </c>
      <c r="F29" s="244"/>
      <c r="G29" s="244"/>
      <c r="H29" s="104"/>
      <c r="I29" s="66"/>
    </row>
    <row r="30" spans="1:9" ht="30" x14ac:dyDescent="0.25">
      <c r="A30" s="52">
        <f>IF(AND(B30&lt;&gt;"",C30&lt;&gt;"",LEFT(B30,1)&lt;&gt;"#"),MAX($A$2:A29)+1,"")</f>
        <v>13</v>
      </c>
      <c r="B30" s="19" t="s">
        <v>147</v>
      </c>
      <c r="C30" s="111" t="s">
        <v>148</v>
      </c>
      <c r="D30" s="51"/>
      <c r="E30" s="56"/>
      <c r="F30" s="26" t="str">
        <f t="shared" ref="F30" ca="1" si="1">IF(E30&lt;&gt;"",NOW(),"")</f>
        <v/>
      </c>
      <c r="G30" s="69"/>
      <c r="H30" s="74"/>
      <c r="I30" s="246"/>
    </row>
    <row r="31" spans="1:9" x14ac:dyDescent="0.25">
      <c r="A31" s="58"/>
      <c r="B31" s="102" t="str">
        <f>$B$3</f>
        <v>( Add new test case )</v>
      </c>
      <c r="C31" s="105" t="str">
        <f>$C$3</f>
        <v>( Remove previous test result )</v>
      </c>
      <c r="D31" s="103"/>
      <c r="E31" s="244" t="str">
        <f>$E$3</f>
        <v>( Add new test result )</v>
      </c>
      <c r="F31" s="244"/>
      <c r="G31" s="244"/>
      <c r="H31" s="104"/>
      <c r="I31" s="66"/>
    </row>
    <row r="32" spans="1:9" ht="60" x14ac:dyDescent="0.25">
      <c r="A32" s="52">
        <f>IF(AND(B32&lt;&gt;"",C32&lt;&gt;"",LEFT(B32,1)&lt;&gt;"#"),MAX($A$2:A31)+1,"")</f>
        <v>14</v>
      </c>
      <c r="B32" s="19" t="s">
        <v>149</v>
      </c>
      <c r="C32" s="111" t="s">
        <v>512</v>
      </c>
      <c r="D32" s="51"/>
      <c r="E32" s="56"/>
      <c r="F32" s="26" t="str">
        <f t="shared" ref="F32" ca="1" si="2">IF(E32&lt;&gt;"",NOW(),"")</f>
        <v/>
      </c>
      <c r="G32" s="69"/>
      <c r="H32" s="74"/>
      <c r="I32" s="246"/>
    </row>
    <row r="33" spans="1:9" x14ac:dyDescent="0.25">
      <c r="A33" s="58"/>
      <c r="B33" s="102" t="str">
        <f>$B$3</f>
        <v>( Add new test case )</v>
      </c>
      <c r="C33" s="105" t="str">
        <f>$C$3</f>
        <v>( Remove previous test result )</v>
      </c>
      <c r="D33" s="103"/>
      <c r="E33" s="244" t="str">
        <f>$E$3</f>
        <v>( Add new test result )</v>
      </c>
      <c r="F33" s="244"/>
      <c r="G33" s="244"/>
      <c r="H33" s="104"/>
      <c r="I33" s="66"/>
    </row>
    <row r="34" spans="1:9" ht="45" x14ac:dyDescent="0.25">
      <c r="A34" s="52">
        <f>IF(AND(B34&lt;&gt;"",C34&lt;&gt;"",LEFT(B34,1)&lt;&gt;"#"),MAX($A$2:A33)+1,"")</f>
        <v>15</v>
      </c>
      <c r="B34" s="19" t="s">
        <v>150</v>
      </c>
      <c r="C34" s="111" t="s">
        <v>9</v>
      </c>
      <c r="D34" s="51"/>
      <c r="E34" s="56"/>
      <c r="F34" s="26" t="str">
        <f t="shared" ref="F34" ca="1" si="3">IF(E34&lt;&gt;"",NOW(),"")</f>
        <v/>
      </c>
      <c r="G34" s="69"/>
      <c r="H34" s="74"/>
      <c r="I34" s="67"/>
    </row>
    <row r="35" spans="1:9" x14ac:dyDescent="0.25">
      <c r="A35" s="58"/>
      <c r="B35" s="102" t="str">
        <f>$B$3</f>
        <v>( Add new test case )</v>
      </c>
      <c r="C35" s="105" t="str">
        <f>$C$3</f>
        <v>( Remove previous test result )</v>
      </c>
      <c r="D35" s="103"/>
      <c r="E35" s="244" t="str">
        <f>$E$3</f>
        <v>( Add new test result )</v>
      </c>
      <c r="F35" s="244"/>
      <c r="G35" s="244"/>
      <c r="H35" s="104"/>
      <c r="I35" s="66"/>
    </row>
    <row r="36" spans="1:9" ht="60" x14ac:dyDescent="0.25">
      <c r="A36" s="52">
        <f>IF(AND(B36&lt;&gt;"",C36&lt;&gt;"",LEFT(B36,1)&lt;&gt;"#"),MAX($A$2:A35)+1,"")</f>
        <v>16</v>
      </c>
      <c r="B36" s="19" t="s">
        <v>151</v>
      </c>
      <c r="C36" s="111" t="s">
        <v>10</v>
      </c>
      <c r="D36" s="51"/>
      <c r="E36" s="56"/>
      <c r="F36" s="26" t="str">
        <f t="shared" ref="F36" ca="1" si="4">IF(E36&lt;&gt;"",NOW(),"")</f>
        <v/>
      </c>
      <c r="G36" s="69"/>
      <c r="H36" s="74"/>
      <c r="I36" s="67"/>
    </row>
    <row r="37" spans="1:9" x14ac:dyDescent="0.25">
      <c r="A37" s="58"/>
      <c r="B37" s="102" t="str">
        <f>$B$3</f>
        <v>( Add new test case )</v>
      </c>
      <c r="C37" s="105" t="str">
        <f>$C$3</f>
        <v>( Remove previous test result )</v>
      </c>
      <c r="D37" s="103"/>
      <c r="E37" s="244" t="str">
        <f>$E$3</f>
        <v>( Add new test result )</v>
      </c>
      <c r="F37" s="244"/>
      <c r="G37" s="244"/>
      <c r="H37" s="104"/>
      <c r="I37" s="66"/>
    </row>
    <row r="38" spans="1:9" ht="75" x14ac:dyDescent="0.25">
      <c r="A38" s="52">
        <f>IF(AND(B38&lt;&gt;"",C38&lt;&gt;"",LEFT(B38,1)&lt;&gt;"#"),MAX($A$2:A37)+1,"")</f>
        <v>17</v>
      </c>
      <c r="B38" s="19" t="s">
        <v>152</v>
      </c>
      <c r="C38" s="111" t="s">
        <v>153</v>
      </c>
      <c r="D38" s="51"/>
      <c r="E38" s="56"/>
      <c r="F38" s="26"/>
      <c r="G38" s="69"/>
      <c r="H38" s="74"/>
      <c r="I38" s="67"/>
    </row>
    <row r="39" spans="1:9" x14ac:dyDescent="0.25">
      <c r="A39" s="58"/>
      <c r="B39" s="102" t="str">
        <f>$B$3</f>
        <v>( Add new test case )</v>
      </c>
      <c r="C39" s="105" t="str">
        <f>$C$3</f>
        <v>( Remove previous test result )</v>
      </c>
      <c r="D39" s="103"/>
      <c r="E39" s="244" t="str">
        <f>$E$3</f>
        <v>( Add new test result )</v>
      </c>
      <c r="F39" s="244"/>
      <c r="G39" s="244"/>
      <c r="H39" s="104"/>
      <c r="I39" s="66"/>
    </row>
    <row r="40" spans="1:9" ht="45" x14ac:dyDescent="0.25">
      <c r="A40" s="52">
        <f>IF(AND(B40&lt;&gt;"",C40&lt;&gt;"",LEFT(B40,1)&lt;&gt;"#"),MAX($A$2:A39)+1,"")</f>
        <v>18</v>
      </c>
      <c r="B40" s="19" t="s">
        <v>154</v>
      </c>
      <c r="C40" s="111" t="s">
        <v>11</v>
      </c>
      <c r="D40" s="51"/>
      <c r="E40" s="56"/>
      <c r="F40" s="26"/>
      <c r="G40" s="69"/>
      <c r="H40" s="74"/>
      <c r="I40" s="67"/>
    </row>
    <row r="41" spans="1:9" x14ac:dyDescent="0.25">
      <c r="A41" s="58"/>
      <c r="B41" s="102" t="str">
        <f>$B$3</f>
        <v>( Add new test case )</v>
      </c>
      <c r="C41" s="105" t="str">
        <f>$C$3</f>
        <v>( Remove previous test result )</v>
      </c>
      <c r="D41" s="103"/>
      <c r="E41" s="244" t="str">
        <f>$E$3</f>
        <v>( Add new test result )</v>
      </c>
      <c r="F41" s="244"/>
      <c r="G41" s="244"/>
      <c r="H41" s="104"/>
      <c r="I41" s="66"/>
    </row>
    <row r="42" spans="1:9" ht="60" x14ac:dyDescent="0.25">
      <c r="A42" s="52">
        <f>IF(AND(B42&lt;&gt;"",C42&lt;&gt;"",LEFT(B42,1)&lt;&gt;"#"),MAX($A$2:A41)+1,"")</f>
        <v>19</v>
      </c>
      <c r="B42" s="19" t="s">
        <v>155</v>
      </c>
      <c r="C42" s="111" t="s">
        <v>513</v>
      </c>
      <c r="D42" s="51"/>
      <c r="E42" s="56"/>
      <c r="F42" s="26" t="str">
        <f t="shared" ref="F42" ca="1" si="5">IF(E42&lt;&gt;"",NOW(),"")</f>
        <v/>
      </c>
      <c r="G42" s="69"/>
      <c r="H42" s="74"/>
      <c r="I42" s="67"/>
    </row>
    <row r="43" spans="1:9" x14ac:dyDescent="0.25">
      <c r="A43" s="58"/>
      <c r="B43" s="102" t="str">
        <f>$B$3</f>
        <v>( Add new test case )</v>
      </c>
      <c r="C43" s="105" t="str">
        <f>$C$3</f>
        <v>( Remove previous test result )</v>
      </c>
      <c r="D43" s="103"/>
      <c r="E43" s="244" t="str">
        <f>$E$3</f>
        <v>( Add new test result )</v>
      </c>
      <c r="F43" s="244"/>
      <c r="G43" s="244"/>
      <c r="H43" s="104"/>
      <c r="I43" s="66"/>
    </row>
    <row r="44" spans="1:9" ht="105" x14ac:dyDescent="0.25">
      <c r="A44" s="52">
        <f>IF(AND(B44&lt;&gt;"",C44&lt;&gt;"",LEFT(B44,1)&lt;&gt;"#"),MAX($A$2:A43)+1,"")</f>
        <v>20</v>
      </c>
      <c r="B44" s="19" t="s">
        <v>156</v>
      </c>
      <c r="C44" s="111" t="s">
        <v>24</v>
      </c>
      <c r="D44" s="51"/>
      <c r="E44" s="56"/>
      <c r="F44" s="26" t="str">
        <f t="shared" ref="F44" ca="1" si="6">IF(E44&lt;&gt;"",NOW(),"")</f>
        <v/>
      </c>
      <c r="G44" s="69"/>
      <c r="H44" s="74"/>
      <c r="I44" s="67"/>
    </row>
    <row r="45" spans="1:9" x14ac:dyDescent="0.25">
      <c r="A45" s="58"/>
      <c r="B45" s="102" t="str">
        <f>$B$3</f>
        <v>( Add new test case )</v>
      </c>
      <c r="C45" s="105" t="str">
        <f>$C$3</f>
        <v>( Remove previous test result )</v>
      </c>
      <c r="D45" s="103"/>
      <c r="E45" s="244" t="str">
        <f>$E$3</f>
        <v>( Add new test result )</v>
      </c>
      <c r="F45" s="244"/>
      <c r="G45" s="244"/>
      <c r="H45" s="104"/>
      <c r="I45" s="66"/>
    </row>
    <row r="46" spans="1:9" x14ac:dyDescent="0.25">
      <c r="A46" s="52">
        <f>IF(AND(B46&lt;&gt;"",C46&lt;&gt;"",LEFT(B46,1)&lt;&gt;"#"),MAX($A$2:A45)+1,"")</f>
        <v>21</v>
      </c>
      <c r="B46" s="97" t="s">
        <v>212</v>
      </c>
      <c r="C46" s="253" t="s">
        <v>213</v>
      </c>
      <c r="D46" s="51"/>
      <c r="E46" s="56"/>
      <c r="F46" s="26" t="str">
        <f t="shared" ref="F46" ca="1" si="7">IF(E46&lt;&gt;"",NOW(),"")</f>
        <v/>
      </c>
      <c r="G46" s="69"/>
      <c r="H46" s="74"/>
      <c r="I46" s="246"/>
    </row>
    <row r="47" spans="1:9" x14ac:dyDescent="0.25">
      <c r="A47" s="121"/>
      <c r="B47" s="122" t="str">
        <f>$B$3</f>
        <v>( Add new test case )</v>
      </c>
      <c r="C47" s="140" t="str">
        <f>$C$3</f>
        <v>( Remove previous test result )</v>
      </c>
      <c r="D47" s="103"/>
      <c r="E47" s="244" t="str">
        <f>$E$3</f>
        <v>( Add new test result )</v>
      </c>
      <c r="F47" s="244"/>
      <c r="G47" s="244"/>
      <c r="H47" s="104"/>
      <c r="I47" s="83"/>
    </row>
    <row r="48" spans="1:9" ht="15.75" x14ac:dyDescent="0.25">
      <c r="A48" s="124" t="str">
        <f>IF(AND(B48&lt;&gt;"",C48&lt;&gt;"",LEFT(B48,1)&lt;&gt;"#"),MAX(#REF!)+1,"")</f>
        <v/>
      </c>
      <c r="B48" s="150" t="s">
        <v>157</v>
      </c>
      <c r="C48" s="139"/>
      <c r="D48" s="126"/>
      <c r="E48" s="127"/>
      <c r="F48" s="128"/>
      <c r="G48" s="128"/>
      <c r="H48" s="129"/>
      <c r="I48" s="130"/>
    </row>
    <row r="49" spans="1:9" ht="30" x14ac:dyDescent="0.25">
      <c r="A49" s="52">
        <f>IF(AND(B49&lt;&gt;"",C49&lt;&gt;"",LEFT(B49,1)&lt;&gt;"#"),MAX($A$2:A47)+1,"")</f>
        <v>22</v>
      </c>
      <c r="B49" s="14" t="s">
        <v>218</v>
      </c>
      <c r="C49" s="112" t="s">
        <v>236</v>
      </c>
      <c r="D49" s="51"/>
      <c r="E49" s="56"/>
      <c r="F49" s="26" t="str">
        <f t="shared" ref="F49" ca="1" si="8">IF(E49&lt;&gt;"",NOW(),"")</f>
        <v/>
      </c>
      <c r="G49" s="69"/>
      <c r="H49" s="74"/>
      <c r="I49" s="65" t="s">
        <v>237</v>
      </c>
    </row>
    <row r="50" spans="1:9" x14ac:dyDescent="0.25">
      <c r="A50" s="58"/>
      <c r="B50" s="102" t="str">
        <f>$B$3</f>
        <v>( Add new test case )</v>
      </c>
      <c r="C50" s="105" t="str">
        <f>$C$3</f>
        <v>( Remove previous test result )</v>
      </c>
      <c r="D50" s="103"/>
      <c r="E50" s="244" t="str">
        <f>$E$3</f>
        <v>( Add new test result )</v>
      </c>
      <c r="F50" s="244"/>
      <c r="G50" s="244"/>
      <c r="H50" s="104"/>
      <c r="I50" s="66"/>
    </row>
    <row r="51" spans="1:9" ht="45" x14ac:dyDescent="0.25">
      <c r="A51" s="52">
        <f>IF(AND(B51&lt;&gt;"",C51&lt;&gt;"",LEFT(B51,1)&lt;&gt;"#"),MAX($A$2:A50)+1,"")</f>
        <v>23</v>
      </c>
      <c r="B51" s="14" t="s">
        <v>158</v>
      </c>
      <c r="C51" s="112" t="s">
        <v>159</v>
      </c>
      <c r="D51" s="51"/>
      <c r="E51" s="56"/>
      <c r="F51" s="26"/>
      <c r="G51" s="69"/>
      <c r="H51" s="74"/>
      <c r="I51" s="246"/>
    </row>
    <row r="52" spans="1:9" x14ac:dyDescent="0.25">
      <c r="A52" s="58"/>
      <c r="B52" s="102" t="str">
        <f>$B$3</f>
        <v>( Add new test case )</v>
      </c>
      <c r="C52" s="105" t="str">
        <f>$C$3</f>
        <v>( Remove previous test result )</v>
      </c>
      <c r="D52" s="103"/>
      <c r="E52" s="244" t="str">
        <f>$E$3</f>
        <v>( Add new test result )</v>
      </c>
      <c r="F52" s="244"/>
      <c r="G52" s="244"/>
      <c r="H52" s="104"/>
      <c r="I52" s="66"/>
    </row>
    <row r="53" spans="1:9" ht="30" x14ac:dyDescent="0.25">
      <c r="A53" s="52">
        <f>IF(AND(B53&lt;&gt;"",C53&lt;&gt;"",LEFT(B53,1)&lt;&gt;"#"),MAX($A$2:A52)+1,"")</f>
        <v>24</v>
      </c>
      <c r="B53" s="15" t="s">
        <v>160</v>
      </c>
      <c r="C53" s="113" t="s">
        <v>161</v>
      </c>
      <c r="D53" s="51"/>
      <c r="E53" s="56"/>
      <c r="F53" s="26"/>
      <c r="G53" s="69"/>
      <c r="H53" s="74"/>
      <c r="I53" s="67"/>
    </row>
    <row r="54" spans="1:9" x14ac:dyDescent="0.25">
      <c r="A54" s="58"/>
      <c r="B54" s="102" t="str">
        <f>$B$3</f>
        <v>( Add new test case )</v>
      </c>
      <c r="C54" s="105" t="str">
        <f>$C$3</f>
        <v>( Remove previous test result )</v>
      </c>
      <c r="D54" s="103"/>
      <c r="E54" s="244" t="str">
        <f>$E$3</f>
        <v>( Add new test result )</v>
      </c>
      <c r="F54" s="244"/>
      <c r="G54" s="244"/>
      <c r="H54" s="104"/>
      <c r="I54" s="66"/>
    </row>
    <row r="55" spans="1:9" ht="45" x14ac:dyDescent="0.25">
      <c r="A55" s="52">
        <f>IF(AND(B55&lt;&gt;"",C55&lt;&gt;"",LEFT(B55,1)&lt;&gt;"#"),MAX($A$2:A54)+1,"")</f>
        <v>25</v>
      </c>
      <c r="B55" s="15" t="s">
        <v>162</v>
      </c>
      <c r="C55" s="113" t="s">
        <v>163</v>
      </c>
      <c r="D55" s="51"/>
      <c r="E55" s="56"/>
      <c r="F55" s="26" t="str">
        <f t="shared" ref="F55" ca="1" si="9">IF(E55&lt;&gt;"",NOW(),"")</f>
        <v/>
      </c>
      <c r="G55" s="69"/>
      <c r="H55" s="74"/>
      <c r="I55" s="67"/>
    </row>
    <row r="56" spans="1:9" x14ac:dyDescent="0.25">
      <c r="A56" s="121"/>
      <c r="B56" s="82" t="str">
        <f>$B$3</f>
        <v>( Add new test case )</v>
      </c>
      <c r="C56" s="138" t="str">
        <f>$C$3</f>
        <v>( Remove previous test result )</v>
      </c>
      <c r="D56" s="103"/>
      <c r="E56" s="244" t="str">
        <f>$E$3</f>
        <v>( Add new test result )</v>
      </c>
      <c r="F56" s="244"/>
      <c r="G56" s="244"/>
      <c r="H56" s="104"/>
      <c r="I56" s="83"/>
    </row>
    <row r="57" spans="1:9" ht="15.75" x14ac:dyDescent="0.25">
      <c r="A57" s="124" t="str">
        <f>IF(AND(B57&lt;&gt;"",C57&lt;&gt;"",LEFT(B57,1)&lt;&gt;"#"),MAX(#REF!)+1,"")</f>
        <v/>
      </c>
      <c r="B57" s="150" t="s">
        <v>68</v>
      </c>
      <c r="C57" s="139"/>
      <c r="D57" s="126"/>
      <c r="E57" s="127"/>
      <c r="F57" s="128"/>
      <c r="G57" s="128"/>
      <c r="H57" s="129"/>
      <c r="I57" s="130"/>
    </row>
    <row r="58" spans="1:9" ht="75" x14ac:dyDescent="0.25">
      <c r="A58" s="52">
        <f>IF(AND(B58&lt;&gt;"",C58&lt;&gt;"",LEFT(B58,1)&lt;&gt;"#"),MAX($A$2:A56)+1,"")</f>
        <v>26</v>
      </c>
      <c r="B58" s="20" t="s">
        <v>164</v>
      </c>
      <c r="C58" s="114" t="s">
        <v>165</v>
      </c>
      <c r="D58" s="51"/>
      <c r="E58" s="56"/>
      <c r="F58" s="26" t="str">
        <f t="shared" ref="F58" ca="1" si="10">IF(E58&lt;&gt;"",NOW(),"")</f>
        <v/>
      </c>
      <c r="G58" s="69"/>
      <c r="H58" s="74"/>
      <c r="I58" s="252"/>
    </row>
    <row r="59" spans="1:9" x14ac:dyDescent="0.25">
      <c r="A59" s="58"/>
      <c r="B59" s="102" t="str">
        <f>$B$3</f>
        <v>( Add new test case )</v>
      </c>
      <c r="C59" s="105" t="str">
        <f>$C$3</f>
        <v>( Remove previous test result )</v>
      </c>
      <c r="D59" s="103"/>
      <c r="E59" s="244" t="str">
        <f>$E$3</f>
        <v>( Add new test result )</v>
      </c>
      <c r="F59" s="244"/>
      <c r="G59" s="244"/>
      <c r="H59" s="104"/>
      <c r="I59" s="66"/>
    </row>
    <row r="60" spans="1:9" ht="30" x14ac:dyDescent="0.25">
      <c r="A60" s="52">
        <f>IF(AND(B60&lt;&gt;"",C60&lt;&gt;"",LEFT(B60,1)&lt;&gt;"#"),MAX($A$2:A59)+1,"")</f>
        <v>27</v>
      </c>
      <c r="B60" s="21" t="s">
        <v>167</v>
      </c>
      <c r="C60" s="115" t="s">
        <v>15</v>
      </c>
      <c r="D60" s="51"/>
      <c r="E60" s="56"/>
      <c r="F60" s="26" t="str">
        <f t="shared" ref="F60" ca="1" si="11">IF(E60&lt;&gt;"",NOW(),"")</f>
        <v/>
      </c>
      <c r="G60" s="69"/>
      <c r="H60" s="74"/>
      <c r="I60" s="67"/>
    </row>
    <row r="61" spans="1:9" x14ac:dyDescent="0.25">
      <c r="A61" s="58"/>
      <c r="B61" s="102" t="str">
        <f>$B$3</f>
        <v>( Add new test case )</v>
      </c>
      <c r="C61" s="105" t="str">
        <f>$C$3</f>
        <v>( Remove previous test result )</v>
      </c>
      <c r="D61" s="103"/>
      <c r="E61" s="244" t="str">
        <f>$E$3</f>
        <v>( Add new test result )</v>
      </c>
      <c r="F61" s="244"/>
      <c r="G61" s="244"/>
      <c r="H61" s="104"/>
      <c r="I61" s="66"/>
    </row>
    <row r="62" spans="1:9" ht="45" x14ac:dyDescent="0.25">
      <c r="A62" s="52">
        <f>IF(AND(B62&lt;&gt;"",C62&lt;&gt;"",LEFT(B62,1)&lt;&gt;"#"),MAX($A$2:A61)+1,"")</f>
        <v>28</v>
      </c>
      <c r="B62" s="21" t="s">
        <v>168</v>
      </c>
      <c r="C62" s="115" t="s">
        <v>16</v>
      </c>
      <c r="D62" s="51"/>
      <c r="E62" s="56"/>
      <c r="F62" s="26"/>
      <c r="G62" s="69"/>
      <c r="H62" s="74"/>
      <c r="I62" s="67"/>
    </row>
    <row r="63" spans="1:9" x14ac:dyDescent="0.25">
      <c r="A63" s="58"/>
      <c r="B63" s="102" t="str">
        <f>$B$3</f>
        <v>( Add new test case )</v>
      </c>
      <c r="C63" s="105" t="str">
        <f>$C$3</f>
        <v>( Remove previous test result )</v>
      </c>
      <c r="D63" s="103"/>
      <c r="E63" s="244" t="str">
        <f>$E$3</f>
        <v>( Add new test result )</v>
      </c>
      <c r="F63" s="244"/>
      <c r="G63" s="244"/>
      <c r="H63" s="104"/>
      <c r="I63" s="66"/>
    </row>
    <row r="64" spans="1:9" ht="45" x14ac:dyDescent="0.25">
      <c r="A64" s="52">
        <f>IF(AND(B64&lt;&gt;"",C64&lt;&gt;"",LEFT(B64,1)&lt;&gt;"#"),MAX($A$2:A63)+1,"")</f>
        <v>29</v>
      </c>
      <c r="B64" s="21" t="s">
        <v>169</v>
      </c>
      <c r="C64" s="115" t="s">
        <v>17</v>
      </c>
      <c r="D64" s="51"/>
      <c r="E64" s="56"/>
      <c r="F64" s="26" t="str">
        <f t="shared" ref="F64" ca="1" si="12">IF(E64&lt;&gt;"",NOW(),"")</f>
        <v/>
      </c>
      <c r="G64" s="69"/>
      <c r="H64" s="74"/>
      <c r="I64" s="246"/>
    </row>
    <row r="65" spans="1:9" x14ac:dyDescent="0.25">
      <c r="A65" s="58"/>
      <c r="B65" s="102" t="str">
        <f>$B$3</f>
        <v>( Add new test case )</v>
      </c>
      <c r="C65" s="105" t="str">
        <f>$C$3</f>
        <v>( Remove previous test result )</v>
      </c>
      <c r="D65" s="103"/>
      <c r="E65" s="244" t="str">
        <f>$E$3</f>
        <v>( Add new test result )</v>
      </c>
      <c r="F65" s="244"/>
      <c r="G65" s="244"/>
      <c r="H65" s="104"/>
      <c r="I65" s="66"/>
    </row>
    <row r="66" spans="1:9" ht="45" x14ac:dyDescent="0.25">
      <c r="A66" s="52">
        <f>IF(AND(B66&lt;&gt;"",C66&lt;&gt;"",LEFT(B66,1)&lt;&gt;"#"),MAX($A$2:A65)+1,"")</f>
        <v>30</v>
      </c>
      <c r="B66" s="21" t="s">
        <v>170</v>
      </c>
      <c r="C66" s="115" t="s">
        <v>18</v>
      </c>
      <c r="D66" s="51"/>
      <c r="E66" s="56"/>
      <c r="F66" s="26" t="str">
        <f t="shared" ref="F66" ca="1" si="13">IF(E66&lt;&gt;"",NOW(),"")</f>
        <v/>
      </c>
      <c r="G66" s="69"/>
      <c r="H66" s="74"/>
      <c r="I66" s="67"/>
    </row>
    <row r="67" spans="1:9" x14ac:dyDescent="0.25">
      <c r="A67" s="58"/>
      <c r="B67" s="102" t="str">
        <f>$B$3</f>
        <v>( Add new test case )</v>
      </c>
      <c r="C67" s="105" t="str">
        <f>$C$3</f>
        <v>( Remove previous test result )</v>
      </c>
      <c r="D67" s="103"/>
      <c r="E67" s="244" t="str">
        <f>$E$3</f>
        <v>( Add new test result )</v>
      </c>
      <c r="F67" s="244"/>
      <c r="G67" s="244"/>
      <c r="H67" s="104"/>
      <c r="I67" s="66"/>
    </row>
    <row r="68" spans="1:9" ht="45" x14ac:dyDescent="0.25">
      <c r="A68" s="52">
        <f>IF(AND(B68&lt;&gt;"",C68&lt;&gt;"",LEFT(B68,1)&lt;&gt;"#"),MAX($A$2:A67)+1,"")</f>
        <v>31</v>
      </c>
      <c r="B68" s="21" t="s">
        <v>171</v>
      </c>
      <c r="C68" s="115" t="s">
        <v>172</v>
      </c>
      <c r="D68" s="51"/>
      <c r="E68" s="56"/>
      <c r="F68" s="26" t="str">
        <f t="shared" ref="F68" ca="1" si="14">IF(E68&lt;&gt;"",NOW(),"")</f>
        <v/>
      </c>
      <c r="G68" s="69"/>
      <c r="H68" s="74"/>
      <c r="I68" s="67"/>
    </row>
    <row r="69" spans="1:9" x14ac:dyDescent="0.25">
      <c r="A69" s="58"/>
      <c r="B69" s="102" t="str">
        <f>$B$3</f>
        <v>( Add new test case )</v>
      </c>
      <c r="C69" s="105" t="str">
        <f>$C$3</f>
        <v>( Remove previous test result )</v>
      </c>
      <c r="D69" s="103"/>
      <c r="E69" s="244" t="str">
        <f>$E$3</f>
        <v>( Add new test result )</v>
      </c>
      <c r="F69" s="244"/>
      <c r="G69" s="244"/>
      <c r="H69" s="104"/>
      <c r="I69" s="66"/>
    </row>
    <row r="70" spans="1:9" ht="60" x14ac:dyDescent="0.25">
      <c r="A70" s="52">
        <f>IF(AND(B70&lt;&gt;"",C70&lt;&gt;"",LEFT(B70,1)&lt;&gt;"#"),MAX($A$2:A69)+1,"")</f>
        <v>32</v>
      </c>
      <c r="B70" s="21" t="s">
        <v>238</v>
      </c>
      <c r="C70" s="115" t="s">
        <v>239</v>
      </c>
      <c r="D70" s="51"/>
      <c r="E70" s="56"/>
      <c r="F70" s="26" t="str">
        <f t="shared" ref="F70" ca="1" si="15">IF(E70&lt;&gt;"",NOW(),"")</f>
        <v/>
      </c>
      <c r="G70" s="69"/>
      <c r="H70" s="74"/>
      <c r="I70" s="67"/>
    </row>
    <row r="71" spans="1:9" x14ac:dyDescent="0.25">
      <c r="A71" s="58"/>
      <c r="B71" s="102" t="str">
        <f>$B$3</f>
        <v>( Add new test case )</v>
      </c>
      <c r="C71" s="105" t="str">
        <f>$C$3</f>
        <v>( Remove previous test result )</v>
      </c>
      <c r="D71" s="103"/>
      <c r="E71" s="244" t="str">
        <f>$E$3</f>
        <v>( Add new test result )</v>
      </c>
      <c r="F71" s="244"/>
      <c r="G71" s="244"/>
      <c r="H71" s="104"/>
      <c r="I71" s="66"/>
    </row>
    <row r="72" spans="1:9" ht="60" x14ac:dyDescent="0.25">
      <c r="A72" s="52">
        <f>IF(AND(B72&lt;&gt;"",C72&lt;&gt;"",LEFT(B72,1)&lt;&gt;"#"),MAX($A$2:A71)+1,"")</f>
        <v>33</v>
      </c>
      <c r="B72" s="21" t="s">
        <v>173</v>
      </c>
      <c r="C72" s="115" t="s">
        <v>174</v>
      </c>
      <c r="D72" s="51"/>
      <c r="E72" s="56"/>
      <c r="F72" s="26"/>
      <c r="G72" s="69"/>
      <c r="H72" s="74"/>
      <c r="I72" s="67"/>
    </row>
    <row r="73" spans="1:9" x14ac:dyDescent="0.25">
      <c r="A73" s="58"/>
      <c r="B73" s="102" t="str">
        <f>$B$3</f>
        <v>( Add new test case )</v>
      </c>
      <c r="C73" s="105" t="str">
        <f>$C$3</f>
        <v>( Remove previous test result )</v>
      </c>
      <c r="D73" s="103"/>
      <c r="E73" s="244" t="str">
        <f>$E$3</f>
        <v>( Add new test result )</v>
      </c>
      <c r="F73" s="244"/>
      <c r="G73" s="244"/>
      <c r="H73" s="104"/>
      <c r="I73" s="66"/>
    </row>
    <row r="74" spans="1:9" ht="30" x14ac:dyDescent="0.25">
      <c r="A74" s="52">
        <f>IF(AND(B74&lt;&gt;"",C74&lt;&gt;"",LEFT(B74,1)&lt;&gt;"#"),MAX($A$2:A73)+1,"")</f>
        <v>34</v>
      </c>
      <c r="B74" s="97" t="s">
        <v>233</v>
      </c>
      <c r="C74" s="254" t="s">
        <v>240</v>
      </c>
      <c r="D74" s="51"/>
      <c r="E74" s="56"/>
      <c r="F74" s="26"/>
      <c r="G74" s="69"/>
      <c r="H74" s="74"/>
      <c r="I74" s="246"/>
    </row>
    <row r="75" spans="1:9" x14ac:dyDescent="0.25">
      <c r="A75" s="121"/>
      <c r="B75" s="122" t="str">
        <f>$B$3</f>
        <v>( Add new test case )</v>
      </c>
      <c r="C75" s="140" t="str">
        <f>$C$3</f>
        <v>( Remove previous test result )</v>
      </c>
      <c r="D75" s="103"/>
      <c r="E75" s="244" t="str">
        <f>$E$3</f>
        <v>( Add new test result )</v>
      </c>
      <c r="F75" s="244"/>
      <c r="G75" s="244"/>
      <c r="H75" s="104"/>
      <c r="I75" s="83"/>
    </row>
    <row r="76" spans="1:9" ht="15.75" x14ac:dyDescent="0.25">
      <c r="A76" s="124" t="str">
        <f>IF(AND(B76&lt;&gt;"",C76&lt;&gt;"",LEFT(B76,1)&lt;&gt;"#"),MAX($A$2:A4)+1,"")</f>
        <v/>
      </c>
      <c r="B76" s="150" t="s">
        <v>175</v>
      </c>
      <c r="C76" s="139"/>
      <c r="D76" s="126"/>
      <c r="E76" s="127"/>
      <c r="F76" s="128"/>
      <c r="G76" s="128"/>
      <c r="H76" s="129"/>
      <c r="I76" s="130"/>
    </row>
    <row r="77" spans="1:9" ht="30" x14ac:dyDescent="0.25">
      <c r="A77" s="52">
        <f>IF(AND(B77&lt;&gt;"",C77&lt;&gt;"",LEFT(B77,1)&lt;&gt;"#"),MAX($A$2:A75)+1,"")</f>
        <v>35</v>
      </c>
      <c r="B77" s="14" t="s">
        <v>176</v>
      </c>
      <c r="C77" s="112" t="s">
        <v>20</v>
      </c>
      <c r="D77" s="51"/>
      <c r="E77" s="56"/>
      <c r="F77" s="26" t="str">
        <f t="shared" ref="F77" ca="1" si="16">IF(E77&lt;&gt;"",NOW(),"")</f>
        <v/>
      </c>
      <c r="G77" s="69"/>
      <c r="H77" s="74"/>
      <c r="I77" s="65"/>
    </row>
    <row r="78" spans="1:9" x14ac:dyDescent="0.25">
      <c r="A78" s="58"/>
      <c r="B78" s="102" t="str">
        <f>$B$3</f>
        <v>( Add new test case )</v>
      </c>
      <c r="C78" s="105" t="str">
        <f>$C$3</f>
        <v>( Remove previous test result )</v>
      </c>
      <c r="D78" s="103"/>
      <c r="E78" s="244" t="str">
        <f>$E$3</f>
        <v>( Add new test result )</v>
      </c>
      <c r="F78" s="244"/>
      <c r="G78" s="244"/>
      <c r="H78" s="104"/>
      <c r="I78" s="66"/>
    </row>
    <row r="79" spans="1:9" ht="60" x14ac:dyDescent="0.25">
      <c r="A79" s="52">
        <f>IF(AND(B79&lt;&gt;"",C79&lt;&gt;"",LEFT(B79,1)&lt;&gt;"#"),MAX($A$2:A78)+1,"")</f>
        <v>36</v>
      </c>
      <c r="B79" s="15" t="s">
        <v>177</v>
      </c>
      <c r="C79" s="113" t="s">
        <v>30</v>
      </c>
      <c r="D79" s="51"/>
      <c r="E79" s="56"/>
      <c r="F79" s="26" t="str">
        <f t="shared" ref="F79" ca="1" si="17">IF(E79&lt;&gt;"",NOW(),"")</f>
        <v/>
      </c>
      <c r="G79" s="69"/>
      <c r="H79" s="74"/>
      <c r="I79" s="67"/>
    </row>
    <row r="80" spans="1:9" x14ac:dyDescent="0.25">
      <c r="A80" s="58"/>
      <c r="B80" s="102" t="str">
        <f>$B$3</f>
        <v>( Add new test case )</v>
      </c>
      <c r="C80" s="105" t="str">
        <f>$C$3</f>
        <v>( Remove previous test result )</v>
      </c>
      <c r="D80" s="103"/>
      <c r="E80" s="244" t="str">
        <f>$E$3</f>
        <v>( Add new test result )</v>
      </c>
      <c r="F80" s="244"/>
      <c r="G80" s="244"/>
      <c r="H80" s="104"/>
      <c r="I80" s="66"/>
    </row>
    <row r="81" spans="1:9" ht="45" x14ac:dyDescent="0.25">
      <c r="A81" s="52">
        <f>IF(AND(B81&lt;&gt;"",C81&lt;&gt;"",LEFT(B81,1)&lt;&gt;"#"),MAX($A$2:A80)+1,"")</f>
        <v>37</v>
      </c>
      <c r="B81" s="15" t="s">
        <v>178</v>
      </c>
      <c r="C81" s="113" t="s">
        <v>21</v>
      </c>
      <c r="D81" s="51"/>
      <c r="E81" s="56"/>
      <c r="F81" s="26" t="str">
        <f t="shared" ref="F81" ca="1" si="18">IF(E81&lt;&gt;"",NOW(),"")</f>
        <v/>
      </c>
      <c r="G81" s="69"/>
      <c r="H81" s="74"/>
      <c r="I81" s="246" t="s">
        <v>235</v>
      </c>
    </row>
    <row r="82" spans="1:9" x14ac:dyDescent="0.25">
      <c r="A82" s="121"/>
      <c r="B82" s="122" t="str">
        <f>$B$3</f>
        <v>( Add new test case )</v>
      </c>
      <c r="C82" s="140" t="str">
        <f>$C$3</f>
        <v>( Remove previous test result )</v>
      </c>
      <c r="D82" s="103"/>
      <c r="E82" s="244" t="str">
        <f>$E$3</f>
        <v>( Add new test result )</v>
      </c>
      <c r="F82" s="244"/>
      <c r="G82" s="244"/>
      <c r="H82" s="104"/>
      <c r="I82" s="83"/>
    </row>
    <row r="83" spans="1:9" ht="15.75" x14ac:dyDescent="0.25">
      <c r="A83" s="124" t="str">
        <f>IF(AND(B83&lt;&gt;"",C83&lt;&gt;"",LEFT(B83,1)&lt;&gt;"#"),MAX($A$2:A24)+1,"")</f>
        <v/>
      </c>
      <c r="B83" s="151" t="s">
        <v>474</v>
      </c>
      <c r="C83" s="139"/>
      <c r="D83" s="126"/>
      <c r="E83" s="127"/>
      <c r="F83" s="128"/>
      <c r="G83" s="128"/>
      <c r="H83" s="129"/>
      <c r="I83" s="130"/>
    </row>
    <row r="84" spans="1:9" ht="30" x14ac:dyDescent="0.25">
      <c r="A84" s="53" t="str">
        <f>IF(AND(B84&lt;&gt;"",C84&lt;&gt;"",LEFT(B84,1)&lt;&gt;"#"),MAX($A$2:A83)+1,"")</f>
        <v/>
      </c>
      <c r="B84" s="14" t="s">
        <v>510</v>
      </c>
      <c r="C84" s="116" t="s">
        <v>32</v>
      </c>
      <c r="D84" s="51"/>
      <c r="E84" s="56"/>
      <c r="F84" s="26" t="str">
        <f t="shared" ref="F84" ca="1" si="19">IF(E84&lt;&gt;"",NOW(),"")</f>
        <v/>
      </c>
      <c r="G84" s="69"/>
      <c r="H84" s="74"/>
      <c r="I84" s="68"/>
    </row>
    <row r="85" spans="1:9" x14ac:dyDescent="0.25">
      <c r="A85" s="121"/>
      <c r="B85" s="122" t="str">
        <f>$B$3</f>
        <v>( Add new test case )</v>
      </c>
      <c r="C85" s="140" t="str">
        <f>$C$3</f>
        <v>( Remove previous test result )</v>
      </c>
      <c r="D85" s="103"/>
      <c r="E85" s="244" t="str">
        <f>$E$3</f>
        <v>( Add new test result )</v>
      </c>
      <c r="F85" s="244"/>
      <c r="G85" s="244"/>
      <c r="H85" s="104"/>
      <c r="I85" s="83"/>
    </row>
    <row r="86" spans="1:9" ht="15.75" x14ac:dyDescent="0.25">
      <c r="A86" s="124" t="str">
        <f>IF(AND(B86&lt;&gt;"",C86&lt;&gt;"",LEFT(B86,1)&lt;&gt;"#"),MAX($A$2:A85)+1,"")</f>
        <v/>
      </c>
      <c r="B86" s="150" t="s">
        <v>69</v>
      </c>
      <c r="C86" s="139"/>
      <c r="D86" s="126"/>
      <c r="E86" s="127"/>
      <c r="F86" s="128"/>
      <c r="G86" s="128"/>
      <c r="H86" s="129"/>
      <c r="I86" s="130"/>
    </row>
    <row r="87" spans="1:9" ht="30" x14ac:dyDescent="0.25">
      <c r="A87" s="53" t="str">
        <f>IF(AND(B87&lt;&gt;"",C87&lt;&gt;"",LEFT(B87,1)&lt;&gt;"#"),MAX($A$2:A86)+1,"")</f>
        <v/>
      </c>
      <c r="B87" s="14" t="s">
        <v>65</v>
      </c>
      <c r="C87" s="116" t="s">
        <v>32</v>
      </c>
      <c r="D87" s="51"/>
      <c r="E87" s="56"/>
      <c r="F87" s="26"/>
      <c r="G87" s="69"/>
      <c r="H87" s="74"/>
      <c r="I87" s="68"/>
    </row>
    <row r="88" spans="1:9" x14ac:dyDescent="0.25">
      <c r="A88" s="58"/>
      <c r="B88" s="102" t="str">
        <f>$B$3</f>
        <v>( Add new test case )</v>
      </c>
      <c r="C88" s="105" t="str">
        <f>$C$3</f>
        <v>( Remove previous test result )</v>
      </c>
      <c r="D88" s="103"/>
      <c r="E88" s="244" t="str">
        <f>$E$3</f>
        <v>( Add new test result )</v>
      </c>
      <c r="F88" s="244"/>
      <c r="G88" s="244"/>
      <c r="H88" s="104"/>
      <c r="I88" s="66"/>
    </row>
  </sheetData>
  <sheetProtection algorithmName="SHA-512" hashValue="/lFR/DjB9MdjsYYHMeiIH5s1KYDkr9z283ynBz54Ktf7LosbhCTqDDvAY40XSx7/sqqbRkLLkKkXicbjKNvvXw==" saltValue="lDpKTuZfyKoK0NCbq4uSew==" spinCount="100000" sheet="1" objects="1" scenarios="1" selectLockedCells="1" sort="0" autoFilter="0"/>
  <protectedRanges>
    <protectedRange password="DDDF" sqref="A2"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48" priority="9" stopIfTrue="1">
      <formula>LEFT($D5,1)="W"</formula>
    </cfRule>
  </conditionalFormatting>
  <conditionalFormatting sqref="D87 D84">
    <cfRule type="expression" dxfId="47" priority="8" stopIfTrue="1">
      <formula>LEFT($D84,1)="W"</formula>
    </cfRule>
  </conditionalFormatting>
  <conditionalFormatting sqref="D26 D23 D21 D19 D17 D15 D13 D11 D9">
    <cfRule type="expression" dxfId="46" priority="6" stopIfTrue="1">
      <formula>LEFT($D9,1)="W"</formula>
    </cfRule>
  </conditionalFormatting>
  <conditionalFormatting sqref="D7">
    <cfRule type="expression" dxfId="45" priority="7" stopIfTrue="1">
      <formula>LEFT($D7,1)="W"</formula>
    </cfRule>
  </conditionalFormatting>
  <conditionalFormatting sqref="D38 D36 D34 D32 D30 D28">
    <cfRule type="expression" dxfId="44" priority="5" stopIfTrue="1">
      <formula>LEFT($D28,1)="W"</formula>
    </cfRule>
  </conditionalFormatting>
  <conditionalFormatting sqref="D51 D49 D46 D44 D42 D40">
    <cfRule type="expression" dxfId="43" priority="4" stopIfTrue="1">
      <formula>LEFT($D40,1)="W"</formula>
    </cfRule>
  </conditionalFormatting>
  <conditionalFormatting sqref="D62 D60 D58 D55 D53">
    <cfRule type="expression" dxfId="42" priority="3" stopIfTrue="1">
      <formula>LEFT($D53,1)="W"</formula>
    </cfRule>
  </conditionalFormatting>
  <conditionalFormatting sqref="D72 D70 D68 D66 D64">
    <cfRule type="expression" dxfId="41" priority="2" stopIfTrue="1">
      <formula>LEFT($D64,1)="W"</formula>
    </cfRule>
  </conditionalFormatting>
  <conditionalFormatting sqref="D81 D79 D77 D74">
    <cfRule type="expression" dxfId="40" priority="1" stopIfTrue="1">
      <formula>LEFT($D74,1)="W"</formula>
    </cfRule>
  </conditionalFormatting>
  <dataValidations count="3">
    <dataValidation type="list" allowBlank="1" showInputMessage="1" showErrorMessage="1" sqref="E84 E9 E11 E13 E15 E19 E21 E23 E87 E17 E26 E5 E7 E30 E32 E34 E36 E28 E38 E42 E44 E46 E49 E40 E51 E55 E58 E60 E53 E62 E64 E66 E68 E70 E72 E77 E79 E81 E74">
      <formula1>ValidStatus</formula1>
    </dataValidation>
    <dataValidation type="list" allowBlank="1" showInputMessage="1" showErrorMessage="1" sqref="G84:H84 G87:H87 G21:H21 G23:H23 G9 G11 G13 G15 G19:H19 G17 G26:H26 G5 G7 G32:H32 G36:H36 G34:H34 G30:H30 G28 G38:H38 G44:H44 G49:H49 G46:H46 G42:H42 G40 G51:H51 G58:H58 G60:H60 G55:H55 G53 G62:H62 G66:H66 G70:H70 G68:H68 G64:H64 G72:H72 G79:H79 G81:H81 G77:H77 G74">
      <formula1>ValidPhases</formula1>
    </dataValidation>
    <dataValidation type="list" allowBlank="1" showInputMessage="1" showErrorMessage="1" sqref="H9 H11 H13 H15 H17 H5 H7 H28 H40 H53 H74">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I69"/>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TestingDetail-cim-miscadmin</v>
      </c>
      <c r="B1" s="229"/>
      <c r="C1" s="230" t="str">
        <f>ProjectSummary!$D$1</f>
        <v xml:space="preserve"> -  /</v>
      </c>
      <c r="D1" s="230"/>
      <c r="E1" s="230"/>
      <c r="F1" s="230"/>
      <c r="G1" s="203"/>
      <c r="H1" s="204"/>
      <c r="I1" s="205"/>
    </row>
    <row r="2" spans="1:9" s="77" customFormat="1" ht="33" thickTop="1" thickBot="1" x14ac:dyDescent="0.3">
      <c r="A2" s="243" t="s">
        <v>489</v>
      </c>
      <c r="B2" s="206" t="s">
        <v>126</v>
      </c>
      <c r="C2" s="207" t="s">
        <v>0</v>
      </c>
      <c r="D2" s="208" t="s">
        <v>62</v>
      </c>
      <c r="E2" s="208" t="s">
        <v>61</v>
      </c>
      <c r="F2" s="209" t="s">
        <v>58</v>
      </c>
      <c r="G2" s="210" t="s">
        <v>201</v>
      </c>
      <c r="H2" s="211" t="s">
        <v>202</v>
      </c>
      <c r="I2" s="212" t="s">
        <v>60</v>
      </c>
    </row>
    <row r="3" spans="1:9" s="25" customFormat="1" ht="19.5" hidden="1" customHeight="1" thickTop="1" x14ac:dyDescent="0.25">
      <c r="A3" s="71"/>
      <c r="B3" s="122" t="s">
        <v>206</v>
      </c>
      <c r="C3" s="140" t="s">
        <v>204</v>
      </c>
      <c r="D3" s="103"/>
      <c r="E3" s="244" t="s">
        <v>205</v>
      </c>
      <c r="F3" s="244"/>
      <c r="G3" s="244"/>
      <c r="H3" s="104"/>
      <c r="I3" s="72"/>
    </row>
    <row r="4" spans="1:9" s="73" customFormat="1" ht="16.5" thickTop="1" x14ac:dyDescent="0.25">
      <c r="A4" s="142" t="str">
        <f>IF(AND(B4&lt;&gt;"",C4&lt;&gt;"",LEFT(B4,1)&lt;&gt;"#"),MAX(#REF!)+1,"")</f>
        <v/>
      </c>
      <c r="B4" s="214" t="s">
        <v>471</v>
      </c>
      <c r="C4" s="143"/>
      <c r="D4" s="144"/>
      <c r="E4" s="145"/>
      <c r="F4" s="146"/>
      <c r="G4" s="146"/>
      <c r="H4" s="147"/>
      <c r="I4" s="148"/>
    </row>
    <row r="5" spans="1:9" ht="30" x14ac:dyDescent="0.25">
      <c r="A5" s="52">
        <f>IF(AND(B5&lt;&gt;"",C5&lt;&gt;"",LEFT(B5,1)&lt;&gt;"#"),MAX($A$2:A4)+1,"")</f>
        <v>1</v>
      </c>
      <c r="B5" s="14" t="s">
        <v>1</v>
      </c>
      <c r="C5" s="10" t="s">
        <v>2</v>
      </c>
      <c r="D5" s="51"/>
      <c r="E5" s="56"/>
      <c r="F5" s="26"/>
      <c r="G5" s="69"/>
      <c r="H5" s="74"/>
      <c r="I5" s="65"/>
    </row>
    <row r="6" spans="1:9" x14ac:dyDescent="0.25">
      <c r="A6" s="58"/>
      <c r="B6" s="102" t="str">
        <f>$B$3</f>
        <v>( Add new test case )</v>
      </c>
      <c r="C6" s="105" t="str">
        <f>$C$3</f>
        <v>( Remove previous test result )</v>
      </c>
      <c r="D6" s="103"/>
      <c r="E6" s="244" t="s">
        <v>205</v>
      </c>
      <c r="F6" s="244"/>
      <c r="G6" s="244"/>
      <c r="H6" s="104"/>
      <c r="I6" s="66"/>
    </row>
    <row r="7" spans="1:9" ht="30" x14ac:dyDescent="0.25">
      <c r="A7" s="52">
        <f>IF(AND(B7&lt;&gt;"",C7&lt;&gt;"",LEFT(B7,1)&lt;&gt;"#"),MAX($A$2:A6)+1,"")</f>
        <v>2</v>
      </c>
      <c r="B7" s="15" t="s">
        <v>33</v>
      </c>
      <c r="C7" s="4" t="s">
        <v>241</v>
      </c>
      <c r="D7" s="51"/>
      <c r="E7" s="56"/>
      <c r="F7" s="26"/>
      <c r="G7" s="69"/>
      <c r="H7" s="74"/>
      <c r="I7" s="67"/>
    </row>
    <row r="8" spans="1:9" x14ac:dyDescent="0.25">
      <c r="A8" s="58"/>
      <c r="B8" s="102" t="str">
        <f>$B$3</f>
        <v>( Add new test case )</v>
      </c>
      <c r="C8" s="105" t="str">
        <f>$C$3</f>
        <v>( Remove previous test result )</v>
      </c>
      <c r="D8" s="103"/>
      <c r="E8" s="244" t="s">
        <v>205</v>
      </c>
      <c r="F8" s="244"/>
      <c r="G8" s="244"/>
      <c r="H8" s="104"/>
      <c r="I8" s="66"/>
    </row>
    <row r="9" spans="1:9" ht="30" x14ac:dyDescent="0.25">
      <c r="A9" s="52">
        <f>IF(AND(B9&lt;&gt;"",C9&lt;&gt;"",LEFT(B9,1)&lt;&gt;"#"),MAX($A$2:A8)+1,"")</f>
        <v>3</v>
      </c>
      <c r="B9" s="15" t="s">
        <v>34</v>
      </c>
      <c r="C9" s="4" t="s">
        <v>242</v>
      </c>
      <c r="D9" s="51"/>
      <c r="E9" s="56"/>
      <c r="F9" s="26"/>
      <c r="G9" s="69"/>
      <c r="H9" s="74"/>
      <c r="I9" s="67"/>
    </row>
    <row r="10" spans="1:9" x14ac:dyDescent="0.25">
      <c r="A10" s="58"/>
      <c r="B10" s="102" t="str">
        <f>$B$3</f>
        <v>( Add new test case )</v>
      </c>
      <c r="C10" s="105" t="str">
        <f>$C$3</f>
        <v>( Remove previous test result )</v>
      </c>
      <c r="D10" s="103"/>
      <c r="E10" s="244" t="s">
        <v>205</v>
      </c>
      <c r="F10" s="244"/>
      <c r="G10" s="244"/>
      <c r="H10" s="104"/>
      <c r="I10" s="66"/>
    </row>
    <row r="11" spans="1:9" ht="30" x14ac:dyDescent="0.25">
      <c r="A11" s="52">
        <f>IF(AND(B11&lt;&gt;"",C11&lt;&gt;"",LEFT(B11,1)&lt;&gt;"#"),MAX($A$2:A10)+1,"")</f>
        <v>4</v>
      </c>
      <c r="B11" s="15" t="s">
        <v>35</v>
      </c>
      <c r="C11" s="4" t="s">
        <v>243</v>
      </c>
      <c r="D11" s="51"/>
      <c r="E11" s="56"/>
      <c r="F11" s="26"/>
      <c r="G11" s="69"/>
      <c r="H11" s="74"/>
      <c r="I11" s="67"/>
    </row>
    <row r="12" spans="1:9" x14ac:dyDescent="0.25">
      <c r="A12" s="58"/>
      <c r="B12" s="102" t="str">
        <f>$B$3</f>
        <v>( Add new test case )</v>
      </c>
      <c r="C12" s="105" t="str">
        <f>$C$3</f>
        <v>( Remove previous test result )</v>
      </c>
      <c r="D12" s="103"/>
      <c r="E12" s="244" t="s">
        <v>205</v>
      </c>
      <c r="F12" s="244"/>
      <c r="G12" s="244"/>
      <c r="H12" s="104"/>
      <c r="I12" s="66"/>
    </row>
    <row r="13" spans="1:9" ht="30" x14ac:dyDescent="0.25">
      <c r="A13" s="52">
        <f>IF(AND(B13&lt;&gt;"",C13&lt;&gt;"",LEFT(B13,1)&lt;&gt;"#"),MAX($A$2:A12)+1,"")</f>
        <v>5</v>
      </c>
      <c r="B13" s="15" t="s">
        <v>36</v>
      </c>
      <c r="C13" s="4" t="s">
        <v>244</v>
      </c>
      <c r="D13" s="51"/>
      <c r="E13" s="56"/>
      <c r="F13" s="26"/>
      <c r="G13" s="69"/>
      <c r="H13" s="74"/>
      <c r="I13" s="67"/>
    </row>
    <row r="14" spans="1:9" x14ac:dyDescent="0.25">
      <c r="A14" s="58"/>
      <c r="B14" s="102" t="str">
        <f>$B$3</f>
        <v>( Add new test case )</v>
      </c>
      <c r="C14" s="105" t="str">
        <f>$C$3</f>
        <v>( Remove previous test result )</v>
      </c>
      <c r="D14" s="103"/>
      <c r="E14" s="244" t="s">
        <v>205</v>
      </c>
      <c r="F14" s="244"/>
      <c r="G14" s="244"/>
      <c r="H14" s="104"/>
      <c r="I14" s="66"/>
    </row>
    <row r="15" spans="1:9" ht="45" x14ac:dyDescent="0.25">
      <c r="A15" s="52">
        <f>IF(AND(B15&lt;&gt;"",C15&lt;&gt;"",LEFT(B15,1)&lt;&gt;"#"),MAX($A$2:A14)+1,"")</f>
        <v>6</v>
      </c>
      <c r="B15" s="15" t="s">
        <v>37</v>
      </c>
      <c r="C15" s="4" t="s">
        <v>245</v>
      </c>
      <c r="D15" s="51"/>
      <c r="E15" s="56"/>
      <c r="F15" s="26" t="str">
        <f t="shared" ref="F15:F26" ca="1" si="0">IF(E15&lt;&gt;"",NOW(),"")</f>
        <v/>
      </c>
      <c r="G15" s="69"/>
      <c r="H15" s="74"/>
      <c r="I15" s="67"/>
    </row>
    <row r="16" spans="1:9" x14ac:dyDescent="0.25">
      <c r="A16" s="58"/>
      <c r="B16" s="102" t="str">
        <f>$B$3</f>
        <v>( Add new test case )</v>
      </c>
      <c r="C16" s="105" t="str">
        <f>$C$3</f>
        <v>( Remove previous test result )</v>
      </c>
      <c r="D16" s="103"/>
      <c r="E16" s="244" t="s">
        <v>205</v>
      </c>
      <c r="F16" s="244"/>
      <c r="G16" s="244"/>
      <c r="H16" s="104"/>
      <c r="I16" s="66"/>
    </row>
    <row r="17" spans="1:9" ht="30" x14ac:dyDescent="0.25">
      <c r="A17" s="52">
        <f>IF(AND(B17&lt;&gt;"",C17&lt;&gt;"",LEFT(B17,1)&lt;&gt;"#"),MAX($A$2:A16)+1,"")</f>
        <v>7</v>
      </c>
      <c r="B17" s="62" t="s">
        <v>132</v>
      </c>
      <c r="C17" s="6" t="s">
        <v>22</v>
      </c>
      <c r="D17" s="51"/>
      <c r="E17" s="56"/>
      <c r="F17" s="26"/>
      <c r="G17" s="69"/>
      <c r="H17" s="74"/>
      <c r="I17" s="67"/>
    </row>
    <row r="18" spans="1:9" x14ac:dyDescent="0.25">
      <c r="A18" s="58"/>
      <c r="B18" s="102" t="str">
        <f>$B$3</f>
        <v>( Add new test case )</v>
      </c>
      <c r="C18" s="105" t="str">
        <f>$C$3</f>
        <v>( Remove previous test result )</v>
      </c>
      <c r="D18" s="103"/>
      <c r="E18" s="244" t="s">
        <v>205</v>
      </c>
      <c r="F18" s="244"/>
      <c r="G18" s="244"/>
      <c r="H18" s="104"/>
      <c r="I18" s="66"/>
    </row>
    <row r="19" spans="1:9" ht="45" x14ac:dyDescent="0.25">
      <c r="A19" s="52">
        <f>IF(AND(B19&lt;&gt;"",C19&lt;&gt;"",LEFT(B19,1)&lt;&gt;"#"),MAX($A$2:A18)+1,"")</f>
        <v>8</v>
      </c>
      <c r="B19" s="16" t="s">
        <v>246</v>
      </c>
      <c r="C19" s="5" t="s">
        <v>179</v>
      </c>
      <c r="D19" s="51"/>
      <c r="E19" s="56"/>
      <c r="F19" s="26" t="str">
        <f t="shared" ca="1" si="0"/>
        <v/>
      </c>
      <c r="G19" s="69"/>
      <c r="H19" s="74"/>
      <c r="I19" s="67"/>
    </row>
    <row r="20" spans="1:9" x14ac:dyDescent="0.25">
      <c r="A20" s="58"/>
      <c r="B20" s="102" t="str">
        <f>$B$3</f>
        <v>( Add new test case )</v>
      </c>
      <c r="C20" s="105" t="str">
        <f>$C$3</f>
        <v>( Remove previous test result )</v>
      </c>
      <c r="D20" s="103"/>
      <c r="E20" s="244" t="s">
        <v>205</v>
      </c>
      <c r="F20" s="244"/>
      <c r="G20" s="244"/>
      <c r="H20" s="104"/>
      <c r="I20" s="66"/>
    </row>
    <row r="21" spans="1:9" ht="45" x14ac:dyDescent="0.25">
      <c r="A21" s="52">
        <f>IF(AND(B21&lt;&gt;"",C21&lt;&gt;"",LEFT(B21,1)&lt;&gt;"#"),MAX($A$2:A20)+1,"")</f>
        <v>9</v>
      </c>
      <c r="B21" s="16" t="s">
        <v>38</v>
      </c>
      <c r="C21" s="5" t="s">
        <v>27</v>
      </c>
      <c r="D21" s="51"/>
      <c r="E21" s="56"/>
      <c r="F21" s="26" t="str">
        <f t="shared" ca="1" si="0"/>
        <v/>
      </c>
      <c r="G21" s="69"/>
      <c r="H21" s="74"/>
      <c r="I21" s="67"/>
    </row>
    <row r="22" spans="1:9" x14ac:dyDescent="0.25">
      <c r="A22" s="121"/>
      <c r="B22" s="122" t="str">
        <f>$B$3</f>
        <v>( Add new test case )</v>
      </c>
      <c r="C22" s="140" t="str">
        <f>$C$3</f>
        <v>( Remove previous test result )</v>
      </c>
      <c r="D22" s="103"/>
      <c r="E22" s="244" t="s">
        <v>205</v>
      </c>
      <c r="F22" s="244"/>
      <c r="G22" s="244"/>
      <c r="H22" s="104"/>
      <c r="I22" s="83"/>
    </row>
    <row r="23" spans="1:9" ht="15.75" x14ac:dyDescent="0.25">
      <c r="A23" s="142" t="str">
        <f>IF(AND(B23&lt;&gt;"",C23&lt;&gt;"",LEFT(B23,1)&lt;&gt;"#"),MAX(#REF!)+1,"")</f>
        <v/>
      </c>
      <c r="B23" s="214" t="s">
        <v>247</v>
      </c>
      <c r="C23" s="143"/>
      <c r="D23" s="144"/>
      <c r="E23" s="145"/>
      <c r="F23" s="146"/>
      <c r="G23" s="146"/>
      <c r="H23" s="147"/>
      <c r="I23" s="148"/>
    </row>
    <row r="24" spans="1:9" ht="30" x14ac:dyDescent="0.25">
      <c r="A24" s="52">
        <f>IF(AND(B24&lt;&gt;"",C24&lt;&gt;"",LEFT(B24,1)&lt;&gt;"#"),MAX($A$2:A22)+1,"")</f>
        <v>10</v>
      </c>
      <c r="B24" s="18" t="s">
        <v>39</v>
      </c>
      <c r="C24" s="12" t="s">
        <v>26</v>
      </c>
      <c r="D24" s="51"/>
      <c r="E24" s="56"/>
      <c r="F24" s="26" t="str">
        <f t="shared" ca="1" si="0"/>
        <v/>
      </c>
      <c r="G24" s="69"/>
      <c r="H24" s="74"/>
      <c r="I24" s="65"/>
    </row>
    <row r="25" spans="1:9" x14ac:dyDescent="0.25">
      <c r="A25" s="58"/>
      <c r="B25" s="102" t="str">
        <f>$B$3</f>
        <v>( Add new test case )</v>
      </c>
      <c r="C25" s="105" t="str">
        <f>$C$3</f>
        <v>( Remove previous test result )</v>
      </c>
      <c r="D25" s="103"/>
      <c r="E25" s="244" t="s">
        <v>205</v>
      </c>
      <c r="F25" s="244"/>
      <c r="G25" s="244"/>
      <c r="H25" s="104"/>
      <c r="I25" s="66"/>
    </row>
    <row r="26" spans="1:9" ht="60" x14ac:dyDescent="0.25">
      <c r="A26" s="52">
        <f>IF(AND(B26&lt;&gt;"",C26&lt;&gt;"",LEFT(B26,1)&lt;&gt;"#"),MAX($A$2:A25)+1,"")</f>
        <v>11</v>
      </c>
      <c r="B26" s="19" t="s">
        <v>40</v>
      </c>
      <c r="C26" s="7" t="s">
        <v>180</v>
      </c>
      <c r="D26" s="51"/>
      <c r="E26" s="56"/>
      <c r="F26" s="26" t="str">
        <f t="shared" ca="1" si="0"/>
        <v/>
      </c>
      <c r="G26" s="69"/>
      <c r="H26" s="74"/>
      <c r="I26" s="67"/>
    </row>
    <row r="27" spans="1:9" x14ac:dyDescent="0.25">
      <c r="A27" s="58"/>
      <c r="B27" s="102" t="str">
        <f>$B$3</f>
        <v>( Add new test case )</v>
      </c>
      <c r="C27" s="105" t="str">
        <f>$C$3</f>
        <v>( Remove previous test result )</v>
      </c>
      <c r="D27" s="103"/>
      <c r="E27" s="244" t="s">
        <v>205</v>
      </c>
      <c r="F27" s="244"/>
      <c r="G27" s="244"/>
      <c r="H27" s="104"/>
      <c r="I27" s="66"/>
    </row>
    <row r="28" spans="1:9" ht="30" x14ac:dyDescent="0.25">
      <c r="A28" s="52">
        <f>IF(AND(B28&lt;&gt;"",C28&lt;&gt;"",LEFT(B28,1)&lt;&gt;"#"),MAX($A$2:A27)+1,"")</f>
        <v>12</v>
      </c>
      <c r="B28" s="19" t="s">
        <v>249</v>
      </c>
      <c r="C28" s="7" t="s">
        <v>181</v>
      </c>
      <c r="D28" s="51"/>
      <c r="E28" s="56"/>
      <c r="F28" s="26"/>
      <c r="G28" s="69"/>
      <c r="H28" s="74"/>
      <c r="I28" s="67"/>
    </row>
    <row r="29" spans="1:9" x14ac:dyDescent="0.25">
      <c r="A29" s="58"/>
      <c r="B29" s="102" t="str">
        <f>$B$3</f>
        <v>( Add new test case )</v>
      </c>
      <c r="C29" s="105" t="str">
        <f>$C$3</f>
        <v>( Remove previous test result )</v>
      </c>
      <c r="D29" s="103"/>
      <c r="E29" s="244" t="s">
        <v>205</v>
      </c>
      <c r="F29" s="244"/>
      <c r="G29" s="244"/>
      <c r="H29" s="104"/>
      <c r="I29" s="66"/>
    </row>
    <row r="30" spans="1:9" ht="30" x14ac:dyDescent="0.25">
      <c r="A30" s="52">
        <f>IF(AND(B30&lt;&gt;"",C30&lt;&gt;"",LEFT(B30,1)&lt;&gt;"#"),MAX($A$2:A29)+1,"")</f>
        <v>13</v>
      </c>
      <c r="B30" s="19" t="s">
        <v>41</v>
      </c>
      <c r="C30" s="7" t="s">
        <v>250</v>
      </c>
      <c r="D30" s="51"/>
      <c r="E30" s="56"/>
      <c r="F30" s="26"/>
      <c r="G30" s="69"/>
      <c r="H30" s="74"/>
      <c r="I30" s="67"/>
    </row>
    <row r="31" spans="1:9" x14ac:dyDescent="0.25">
      <c r="A31" s="58"/>
      <c r="B31" s="102" t="str">
        <f>$B$3</f>
        <v>( Add new test case )</v>
      </c>
      <c r="C31" s="105" t="str">
        <f>$C$3</f>
        <v>( Remove previous test result )</v>
      </c>
      <c r="D31" s="103"/>
      <c r="E31" s="244" t="s">
        <v>205</v>
      </c>
      <c r="F31" s="244"/>
      <c r="G31" s="244"/>
      <c r="H31" s="104"/>
      <c r="I31" s="66"/>
    </row>
    <row r="32" spans="1:9" ht="45" x14ac:dyDescent="0.25">
      <c r="A32" s="52">
        <f>IF(AND(B32&lt;&gt;"",C32&lt;&gt;"",LEFT(B32,1)&lt;&gt;"#"),MAX($A$2:A31)+1,"")</f>
        <v>14</v>
      </c>
      <c r="B32" s="19" t="s">
        <v>42</v>
      </c>
      <c r="C32" s="7" t="s">
        <v>23</v>
      </c>
      <c r="D32" s="51"/>
      <c r="E32" s="56"/>
      <c r="F32" s="26" t="str">
        <f t="shared" ref="F32" ca="1" si="1">IF(E32&lt;&gt;"",NOW(),"")</f>
        <v/>
      </c>
      <c r="G32" s="69"/>
      <c r="H32" s="74"/>
      <c r="I32" s="67"/>
    </row>
    <row r="33" spans="1:9" x14ac:dyDescent="0.25">
      <c r="A33" s="58"/>
      <c r="B33" s="102" t="str">
        <f>$B$3</f>
        <v>( Add new test case )</v>
      </c>
      <c r="C33" s="105" t="str">
        <f>$C$3</f>
        <v>( Remove previous test result )</v>
      </c>
      <c r="D33" s="103"/>
      <c r="E33" s="244" t="s">
        <v>205</v>
      </c>
      <c r="F33" s="244"/>
      <c r="G33" s="244"/>
      <c r="H33" s="104"/>
      <c r="I33" s="66"/>
    </row>
    <row r="34" spans="1:9" ht="75" x14ac:dyDescent="0.25">
      <c r="A34" s="52">
        <f>IF(AND(B34&lt;&gt;"",C34&lt;&gt;"",LEFT(B34,1)&lt;&gt;"#"),MAX($A$2:A33)+1,"")</f>
        <v>15</v>
      </c>
      <c r="B34" s="63" t="s">
        <v>182</v>
      </c>
      <c r="C34" s="7" t="s">
        <v>31</v>
      </c>
      <c r="D34" s="51"/>
      <c r="E34" s="56"/>
      <c r="F34" s="26" t="str">
        <f t="shared" ref="F34" ca="1" si="2">IF(E34&lt;&gt;"",NOW(),"")</f>
        <v/>
      </c>
      <c r="G34" s="69"/>
      <c r="H34" s="74"/>
      <c r="I34" s="67"/>
    </row>
    <row r="35" spans="1:9" x14ac:dyDescent="0.25">
      <c r="A35" s="58"/>
      <c r="B35" s="102" t="str">
        <f>$B$3</f>
        <v>( Add new test case )</v>
      </c>
      <c r="C35" s="105" t="str">
        <f>$C$3</f>
        <v>( Remove previous test result )</v>
      </c>
      <c r="D35" s="103"/>
      <c r="E35" s="244" t="s">
        <v>205</v>
      </c>
      <c r="F35" s="244"/>
      <c r="G35" s="244"/>
      <c r="H35" s="104"/>
      <c r="I35" s="66"/>
    </row>
    <row r="36" spans="1:9" ht="45" x14ac:dyDescent="0.25">
      <c r="A36" s="52">
        <f>IF(AND(B36&lt;&gt;"",C36&lt;&gt;"",LEFT(B36,1)&lt;&gt;"#"),MAX($A$2:A35)+1,"")</f>
        <v>16</v>
      </c>
      <c r="B36" s="19" t="s">
        <v>43</v>
      </c>
      <c r="C36" s="7" t="s">
        <v>11</v>
      </c>
      <c r="D36" s="51"/>
      <c r="E36" s="56"/>
      <c r="F36" s="26" t="str">
        <f t="shared" ref="F36" ca="1" si="3">IF(E36&lt;&gt;"",NOW(),"")</f>
        <v/>
      </c>
      <c r="G36" s="69"/>
      <c r="H36" s="74"/>
      <c r="I36" s="67"/>
    </row>
    <row r="37" spans="1:9" x14ac:dyDescent="0.25">
      <c r="A37" s="58"/>
      <c r="B37" s="102" t="str">
        <f>$B$3</f>
        <v>( Add new test case )</v>
      </c>
      <c r="C37" s="105" t="str">
        <f>$C$3</f>
        <v>( Remove previous test result )</v>
      </c>
      <c r="D37" s="103"/>
      <c r="E37" s="244" t="s">
        <v>205</v>
      </c>
      <c r="F37" s="244"/>
      <c r="G37" s="244"/>
      <c r="H37" s="104"/>
      <c r="I37" s="66"/>
    </row>
    <row r="38" spans="1:9" ht="60" x14ac:dyDescent="0.25">
      <c r="A38" s="52">
        <f>IF(AND(B38&lt;&gt;"",C38&lt;&gt;"",LEFT(B38,1)&lt;&gt;"#"),MAX($A$2:A37)+1,"")</f>
        <v>17</v>
      </c>
      <c r="B38" s="19" t="s">
        <v>183</v>
      </c>
      <c r="C38" s="7" t="s">
        <v>251</v>
      </c>
      <c r="D38" s="51"/>
      <c r="E38" s="56"/>
      <c r="F38" s="26" t="str">
        <f t="shared" ref="F38" ca="1" si="4">IF(E38&lt;&gt;"",NOW(),"")</f>
        <v/>
      </c>
      <c r="G38" s="69"/>
      <c r="H38" s="74"/>
      <c r="I38" s="67"/>
    </row>
    <row r="39" spans="1:9" x14ac:dyDescent="0.25">
      <c r="A39" s="58"/>
      <c r="B39" s="102" t="str">
        <f>$B$3</f>
        <v>( Add new test case )</v>
      </c>
      <c r="C39" s="105" t="str">
        <f>$C$3</f>
        <v>( Remove previous test result )</v>
      </c>
      <c r="D39" s="103"/>
      <c r="E39" s="244" t="s">
        <v>205</v>
      </c>
      <c r="F39" s="244"/>
      <c r="G39" s="244"/>
      <c r="H39" s="104"/>
      <c r="I39" s="66"/>
    </row>
    <row r="40" spans="1:9" ht="105" x14ac:dyDescent="0.25">
      <c r="A40" s="52">
        <f>IF(AND(B40&lt;&gt;"",C40&lt;&gt;"",LEFT(B40,1)&lt;&gt;"#"),MAX($A$2:A39)+1,"")</f>
        <v>18</v>
      </c>
      <c r="B40" s="19" t="s">
        <v>44</v>
      </c>
      <c r="C40" s="7" t="s">
        <v>24</v>
      </c>
      <c r="D40" s="51"/>
      <c r="E40" s="56"/>
      <c r="F40" s="26"/>
      <c r="G40" s="69"/>
      <c r="H40" s="74"/>
      <c r="I40" s="67"/>
    </row>
    <row r="41" spans="1:9" x14ac:dyDescent="0.25">
      <c r="A41" s="58"/>
      <c r="B41" s="102" t="str">
        <f>$B$3</f>
        <v>( Add new test case )</v>
      </c>
      <c r="C41" s="105" t="str">
        <f>$C$3</f>
        <v>( Remove previous test result )</v>
      </c>
      <c r="D41" s="103"/>
      <c r="E41" s="244" t="s">
        <v>205</v>
      </c>
      <c r="F41" s="244"/>
      <c r="G41" s="244"/>
      <c r="H41" s="104"/>
      <c r="I41" s="66"/>
    </row>
    <row r="42" spans="1:9" x14ac:dyDescent="0.25">
      <c r="A42" s="52">
        <f>IF(AND(B42&lt;&gt;"",C42&lt;&gt;"",LEFT(B42,1)&lt;&gt;"#"),MAX($A$2:A41)+1,"")</f>
        <v>19</v>
      </c>
      <c r="B42" s="84" t="s">
        <v>212</v>
      </c>
      <c r="C42" s="85" t="s">
        <v>213</v>
      </c>
      <c r="D42" s="51"/>
      <c r="E42" s="56"/>
      <c r="F42" s="26"/>
      <c r="G42" s="69"/>
      <c r="H42" s="74"/>
      <c r="I42" s="67"/>
    </row>
    <row r="43" spans="1:9" x14ac:dyDescent="0.25">
      <c r="A43" s="121"/>
      <c r="B43" s="122" t="str">
        <f>$B$3</f>
        <v>( Add new test case )</v>
      </c>
      <c r="C43" s="140" t="str">
        <f>$C$3</f>
        <v>( Remove previous test result )</v>
      </c>
      <c r="D43" s="103"/>
      <c r="E43" s="244" t="s">
        <v>205</v>
      </c>
      <c r="F43" s="244"/>
      <c r="G43" s="244"/>
      <c r="H43" s="104"/>
      <c r="I43" s="83"/>
    </row>
    <row r="44" spans="1:9" ht="15.75" x14ac:dyDescent="0.25">
      <c r="A44" s="142" t="str">
        <f>IF(AND(B44&lt;&gt;"",C44&lt;&gt;"",LEFT(B44,1)&lt;&gt;"#"),MAX(#REF!)+1,"")</f>
        <v/>
      </c>
      <c r="B44" s="214" t="s">
        <v>248</v>
      </c>
      <c r="C44" s="143"/>
      <c r="D44" s="144"/>
      <c r="E44" s="145"/>
      <c r="F44" s="146"/>
      <c r="G44" s="146"/>
      <c r="H44" s="147"/>
      <c r="I44" s="148"/>
    </row>
    <row r="45" spans="1:9" ht="30" x14ac:dyDescent="0.25">
      <c r="A45" s="52">
        <f>IF(AND(B45&lt;&gt;"",C45&lt;&gt;"",LEFT(B45,1)&lt;&gt;"#"),MAX($A$2:A43)+1,"")</f>
        <v>20</v>
      </c>
      <c r="B45" s="141" t="s">
        <v>184</v>
      </c>
      <c r="C45" s="10" t="s">
        <v>185</v>
      </c>
      <c r="D45" s="51"/>
      <c r="E45" s="56"/>
      <c r="F45" s="26" t="str">
        <f t="shared" ref="F45" ca="1" si="5">IF(E45&lt;&gt;"",NOW(),"")</f>
        <v/>
      </c>
      <c r="G45" s="69"/>
      <c r="H45" s="74"/>
      <c r="I45" s="65"/>
    </row>
    <row r="46" spans="1:9" x14ac:dyDescent="0.25">
      <c r="A46" s="58"/>
      <c r="B46" s="102" t="str">
        <f>$B$3</f>
        <v>( Add new test case )</v>
      </c>
      <c r="C46" s="105" t="str">
        <f>$C$3</f>
        <v>( Remove previous test result )</v>
      </c>
      <c r="D46" s="103"/>
      <c r="E46" s="244" t="s">
        <v>205</v>
      </c>
      <c r="F46" s="244"/>
      <c r="G46" s="244"/>
      <c r="H46" s="104"/>
      <c r="I46" s="66"/>
    </row>
    <row r="47" spans="1:9" ht="30" x14ac:dyDescent="0.25">
      <c r="A47" s="52">
        <f>IF(AND(B47&lt;&gt;"",C47&lt;&gt;"",LEFT(B47,1)&lt;&gt;"#"),MAX($A$2:A46)+1,"")</f>
        <v>21</v>
      </c>
      <c r="B47" s="15" t="s">
        <v>45</v>
      </c>
      <c r="C47" s="4" t="s">
        <v>12</v>
      </c>
      <c r="D47" s="51"/>
      <c r="E47" s="56"/>
      <c r="F47" s="26" t="str">
        <f t="shared" ref="F47" ca="1" si="6">IF(E47&lt;&gt;"",NOW(),"")</f>
        <v/>
      </c>
      <c r="G47" s="69"/>
      <c r="H47" s="74"/>
      <c r="I47" s="67"/>
    </row>
    <row r="48" spans="1:9" x14ac:dyDescent="0.25">
      <c r="A48" s="58"/>
      <c r="B48" s="102" t="str">
        <f>$B$3</f>
        <v>( Add new test case )</v>
      </c>
      <c r="C48" s="105" t="str">
        <f>$C$3</f>
        <v>( Remove previous test result )</v>
      </c>
      <c r="D48" s="103"/>
      <c r="E48" s="244" t="s">
        <v>205</v>
      </c>
      <c r="F48" s="244"/>
      <c r="G48" s="244"/>
      <c r="H48" s="104"/>
      <c r="I48" s="66"/>
    </row>
    <row r="49" spans="1:9" ht="45" x14ac:dyDescent="0.25">
      <c r="A49" s="52">
        <f>IF(AND(B49&lt;&gt;"",C49&lt;&gt;"",LEFT(B49,1)&lt;&gt;"#"),MAX($A$2:A48)+1,"")</f>
        <v>22</v>
      </c>
      <c r="B49" s="15" t="s">
        <v>186</v>
      </c>
      <c r="C49" s="4" t="s">
        <v>187</v>
      </c>
      <c r="D49" s="51"/>
      <c r="E49" s="56"/>
      <c r="F49" s="26"/>
      <c r="G49" s="69"/>
      <c r="H49" s="74"/>
      <c r="I49" s="67"/>
    </row>
    <row r="50" spans="1:9" x14ac:dyDescent="0.25">
      <c r="A50" s="121"/>
      <c r="B50" s="122" t="str">
        <f>$B$3</f>
        <v>( Add new test case )</v>
      </c>
      <c r="C50" s="140" t="str">
        <f>$C$3</f>
        <v>( Remove previous test result )</v>
      </c>
      <c r="D50" s="103"/>
      <c r="E50" s="244" t="s">
        <v>205</v>
      </c>
      <c r="F50" s="244"/>
      <c r="G50" s="244"/>
      <c r="H50" s="104"/>
      <c r="I50" s="83"/>
    </row>
    <row r="51" spans="1:9" ht="15.75" x14ac:dyDescent="0.25">
      <c r="A51" s="142" t="str">
        <f>IF(AND(B51&lt;&gt;"",C51&lt;&gt;"",LEFT(B51,1)&lt;&gt;"#"),MAX(#REF!)+1,"")</f>
        <v/>
      </c>
      <c r="B51" s="214" t="s">
        <v>68</v>
      </c>
      <c r="C51" s="143"/>
      <c r="D51" s="144"/>
      <c r="E51" s="145"/>
      <c r="F51" s="146"/>
      <c r="G51" s="146"/>
      <c r="H51" s="147"/>
      <c r="I51" s="148"/>
    </row>
    <row r="52" spans="1:9" ht="75" x14ac:dyDescent="0.25">
      <c r="A52" s="52">
        <f>IF(AND(B52&lt;&gt;"",C52&lt;&gt;"",LEFT(B52,1)&lt;&gt;"#"),MAX($A$2:A50)+1,"")</f>
        <v>23</v>
      </c>
      <c r="B52" s="20" t="s">
        <v>46</v>
      </c>
      <c r="C52" s="11" t="s">
        <v>13</v>
      </c>
      <c r="D52" s="51"/>
      <c r="E52" s="56"/>
      <c r="F52" s="26" t="str">
        <f t="shared" ref="F52" ca="1" si="7">IF(E52&lt;&gt;"",NOW(),"")</f>
        <v/>
      </c>
      <c r="G52" s="69"/>
      <c r="H52" s="74"/>
      <c r="I52" s="65"/>
    </row>
    <row r="53" spans="1:9" x14ac:dyDescent="0.25">
      <c r="A53" s="58"/>
      <c r="B53" s="102" t="str">
        <f>$B$3</f>
        <v>( Add new test case )</v>
      </c>
      <c r="C53" s="105" t="str">
        <f>$C$3</f>
        <v>( Remove previous test result )</v>
      </c>
      <c r="D53" s="103"/>
      <c r="E53" s="244" t="s">
        <v>205</v>
      </c>
      <c r="F53" s="244"/>
      <c r="G53" s="244"/>
      <c r="H53" s="104"/>
      <c r="I53" s="66"/>
    </row>
    <row r="54" spans="1:9" ht="45" x14ac:dyDescent="0.25">
      <c r="A54" s="52">
        <f>IF(AND(B54&lt;&gt;"",C54&lt;&gt;"",LEFT(B54,1)&lt;&gt;"#"),MAX($A$2:A53)+1,"")</f>
        <v>24</v>
      </c>
      <c r="B54" s="21" t="s">
        <v>47</v>
      </c>
      <c r="C54" s="8" t="s">
        <v>14</v>
      </c>
      <c r="D54" s="51"/>
      <c r="E54" s="56"/>
      <c r="F54" s="26"/>
      <c r="G54" s="69"/>
      <c r="H54" s="74"/>
      <c r="I54" s="81" t="s">
        <v>252</v>
      </c>
    </row>
    <row r="55" spans="1:9" x14ac:dyDescent="0.25">
      <c r="A55" s="58"/>
      <c r="B55" s="102" t="str">
        <f>$B$3</f>
        <v>( Add new test case )</v>
      </c>
      <c r="C55" s="105" t="str">
        <f>$C$3</f>
        <v>( Remove previous test result )</v>
      </c>
      <c r="D55" s="103"/>
      <c r="E55" s="244" t="s">
        <v>205</v>
      </c>
      <c r="F55" s="244"/>
      <c r="G55" s="244"/>
      <c r="H55" s="104"/>
      <c r="I55" s="66"/>
    </row>
    <row r="56" spans="1:9" ht="30" x14ac:dyDescent="0.25">
      <c r="A56" s="52">
        <f>IF(AND(B56&lt;&gt;"",C56&lt;&gt;"",LEFT(B56,1)&lt;&gt;"#"),MAX($A$2:A55)+1,"")</f>
        <v>25</v>
      </c>
      <c r="B56" s="21" t="s">
        <v>48</v>
      </c>
      <c r="C56" s="8" t="s">
        <v>15</v>
      </c>
      <c r="D56" s="51"/>
      <c r="E56" s="56"/>
      <c r="F56" s="26" t="str">
        <f t="shared" ref="F56" ca="1" si="8">IF(E56&lt;&gt;"",NOW(),"")</f>
        <v/>
      </c>
      <c r="G56" s="69"/>
      <c r="H56" s="74"/>
      <c r="I56" s="81" t="s">
        <v>252</v>
      </c>
    </row>
    <row r="57" spans="1:9" x14ac:dyDescent="0.25">
      <c r="A57" s="58"/>
      <c r="B57" s="102" t="str">
        <f>$B$3</f>
        <v>( Add new test case )</v>
      </c>
      <c r="C57" s="105" t="str">
        <f>$C$3</f>
        <v>( Remove previous test result )</v>
      </c>
      <c r="D57" s="103"/>
      <c r="E57" s="244" t="s">
        <v>205</v>
      </c>
      <c r="F57" s="244"/>
      <c r="G57" s="244"/>
      <c r="H57" s="104"/>
      <c r="I57" s="66"/>
    </row>
    <row r="58" spans="1:9" ht="45" x14ac:dyDescent="0.25">
      <c r="A58" s="52">
        <f>IF(AND(B58&lt;&gt;"",C58&lt;&gt;"",LEFT(B58,1)&lt;&gt;"#"),MAX($A$2:A57)+1,"")</f>
        <v>26</v>
      </c>
      <c r="B58" s="21" t="s">
        <v>49</v>
      </c>
      <c r="C58" s="8" t="s">
        <v>16</v>
      </c>
      <c r="D58" s="51"/>
      <c r="E58" s="56"/>
      <c r="F58" s="26" t="str">
        <f t="shared" ref="F58" ca="1" si="9">IF(E58&lt;&gt;"",NOW(),"")</f>
        <v/>
      </c>
      <c r="G58" s="69"/>
      <c r="H58" s="74"/>
      <c r="I58" s="81" t="s">
        <v>253</v>
      </c>
    </row>
    <row r="59" spans="1:9" x14ac:dyDescent="0.25">
      <c r="A59" s="58"/>
      <c r="B59" s="102" t="str">
        <f>$B$3</f>
        <v>( Add new test case )</v>
      </c>
      <c r="C59" s="105" t="str">
        <f>$C$3</f>
        <v>( Remove previous test result )</v>
      </c>
      <c r="D59" s="103"/>
      <c r="E59" s="244" t="s">
        <v>205</v>
      </c>
      <c r="F59" s="244"/>
      <c r="G59" s="244"/>
      <c r="H59" s="104"/>
      <c r="I59" s="66"/>
    </row>
    <row r="60" spans="1:9" ht="45" x14ac:dyDescent="0.25">
      <c r="A60" s="52">
        <f>IF(AND(B60&lt;&gt;"",C60&lt;&gt;"",LEFT(B60,1)&lt;&gt;"#"),MAX($A$2:A59)+1,"")</f>
        <v>27</v>
      </c>
      <c r="B60" s="21" t="s">
        <v>50</v>
      </c>
      <c r="C60" s="8" t="s">
        <v>17</v>
      </c>
      <c r="D60" s="51"/>
      <c r="E60" s="56"/>
      <c r="F60" s="26" t="str">
        <f t="shared" ref="F60" ca="1" si="10">IF(E60&lt;&gt;"",NOW(),"")</f>
        <v/>
      </c>
      <c r="G60" s="69"/>
      <c r="H60" s="74"/>
      <c r="I60" s="81" t="s">
        <v>253</v>
      </c>
    </row>
    <row r="61" spans="1:9" x14ac:dyDescent="0.25">
      <c r="A61" s="58"/>
      <c r="B61" s="102" t="str">
        <f>$B$3</f>
        <v>( Add new test case )</v>
      </c>
      <c r="C61" s="105" t="str">
        <f>$C$3</f>
        <v>( Remove previous test result )</v>
      </c>
      <c r="D61" s="103"/>
      <c r="E61" s="244" t="s">
        <v>205</v>
      </c>
      <c r="F61" s="244"/>
      <c r="G61" s="244"/>
      <c r="H61" s="104"/>
      <c r="I61" s="66"/>
    </row>
    <row r="62" spans="1:9" ht="45" x14ac:dyDescent="0.25">
      <c r="A62" s="52">
        <f>IF(AND(B62&lt;&gt;"",C62&lt;&gt;"",LEFT(B62,1)&lt;&gt;"#"),MAX($A$2:A61)+1,"")</f>
        <v>28</v>
      </c>
      <c r="B62" s="21" t="s">
        <v>51</v>
      </c>
      <c r="C62" s="8" t="s">
        <v>18</v>
      </c>
      <c r="D62" s="51"/>
      <c r="E62" s="56"/>
      <c r="F62" s="26" t="str">
        <f t="shared" ref="F62" ca="1" si="11">IF(E62&lt;&gt;"",NOW(),"")</f>
        <v/>
      </c>
      <c r="G62" s="69"/>
      <c r="H62" s="74"/>
      <c r="I62" s="81" t="s">
        <v>253</v>
      </c>
    </row>
    <row r="63" spans="1:9" x14ac:dyDescent="0.25">
      <c r="A63" s="121"/>
      <c r="B63" s="122" t="str">
        <f>$B$3</f>
        <v>( Add new test case )</v>
      </c>
      <c r="C63" s="140" t="str">
        <f>$C$3</f>
        <v>( Remove previous test result )</v>
      </c>
      <c r="D63" s="103"/>
      <c r="E63" s="244" t="s">
        <v>205</v>
      </c>
      <c r="F63" s="244"/>
      <c r="G63" s="244"/>
      <c r="H63" s="104"/>
      <c r="I63" s="83"/>
    </row>
    <row r="64" spans="1:9" ht="15.75" x14ac:dyDescent="0.25">
      <c r="A64" s="142" t="str">
        <f>IF(AND(B64&lt;&gt;"",C64&lt;&gt;"",LEFT(B64,1)&lt;&gt;"#"),MAX($A$2:A27)+1,"")</f>
        <v/>
      </c>
      <c r="B64" s="215" t="s">
        <v>474</v>
      </c>
      <c r="C64" s="143"/>
      <c r="D64" s="144"/>
      <c r="E64" s="145"/>
      <c r="F64" s="146"/>
      <c r="G64" s="146"/>
      <c r="H64" s="147"/>
      <c r="I64" s="148"/>
    </row>
    <row r="65" spans="1:9" ht="30" x14ac:dyDescent="0.25">
      <c r="A65" s="53" t="str">
        <f>IF(AND(B65&lt;&gt;"",C65&lt;&gt;"",LEFT(B65,1)&lt;&gt;"#"),MAX($A$2:A64)+1,"")</f>
        <v/>
      </c>
      <c r="B65" s="14" t="s">
        <v>65</v>
      </c>
      <c r="C65" s="14" t="s">
        <v>32</v>
      </c>
      <c r="D65" s="51"/>
      <c r="E65" s="56"/>
      <c r="F65" s="26" t="str">
        <f t="shared" ref="F65" ca="1" si="12">IF(E65&lt;&gt;"",NOW(),"")</f>
        <v/>
      </c>
      <c r="G65" s="69"/>
      <c r="H65" s="74"/>
      <c r="I65" s="68"/>
    </row>
    <row r="66" spans="1:9" x14ac:dyDescent="0.25">
      <c r="A66" s="121"/>
      <c r="B66" s="122" t="str">
        <f>$B$3</f>
        <v>( Add new test case )</v>
      </c>
      <c r="C66" s="140" t="str">
        <f>$C$3</f>
        <v>( Remove previous test result )</v>
      </c>
      <c r="D66" s="103"/>
      <c r="E66" s="244" t="s">
        <v>205</v>
      </c>
      <c r="F66" s="244"/>
      <c r="G66" s="244"/>
      <c r="H66" s="104"/>
      <c r="I66" s="83"/>
    </row>
    <row r="67" spans="1:9" ht="15.75" x14ac:dyDescent="0.25">
      <c r="A67" s="142" t="str">
        <f>IF(AND(B67&lt;&gt;"",C67&lt;&gt;"",LEFT(B67,1)&lt;&gt;"#"),MAX($A$2:A66)+1,"")</f>
        <v/>
      </c>
      <c r="B67" s="214" t="s">
        <v>69</v>
      </c>
      <c r="C67" s="143"/>
      <c r="D67" s="144"/>
      <c r="E67" s="145"/>
      <c r="F67" s="146"/>
      <c r="G67" s="146"/>
      <c r="H67" s="147"/>
      <c r="I67" s="148"/>
    </row>
    <row r="68" spans="1:9" ht="30" x14ac:dyDescent="0.25">
      <c r="A68" s="53" t="str">
        <f>IF(AND(B68&lt;&gt;"",C68&lt;&gt;"",LEFT(B68,1)&lt;&gt;"#"),MAX($A$2:A67)+1,"")</f>
        <v/>
      </c>
      <c r="B68" s="14" t="s">
        <v>65</v>
      </c>
      <c r="C68" s="14" t="s">
        <v>32</v>
      </c>
      <c r="D68" s="51"/>
      <c r="E68" s="56"/>
      <c r="F68" s="26"/>
      <c r="G68" s="69"/>
      <c r="H68" s="74"/>
      <c r="I68" s="68"/>
    </row>
    <row r="69" spans="1:9" x14ac:dyDescent="0.25">
      <c r="A69" s="58"/>
      <c r="B69" s="102" t="str">
        <f>$B$3</f>
        <v>( Add new test case )</v>
      </c>
      <c r="C69" s="105" t="str">
        <f>$C$3</f>
        <v>( Remove previous test result )</v>
      </c>
      <c r="D69" s="103"/>
      <c r="E69" s="244" t="s">
        <v>205</v>
      </c>
      <c r="F69" s="244"/>
      <c r="G69" s="244"/>
      <c r="H69" s="104"/>
      <c r="I69" s="66"/>
    </row>
  </sheetData>
  <sheetProtection algorithmName="SHA-512" hashValue="A4iC+4Qs4JQfKbSEJe/zo0Nt6UGKg9wCTc6t0dEs5bQYgZpPgHh/Ss5WVjcaOdA+yrtLhUQRrP0uiMUw5d1Bhg==" saltValue="wTatA4qndu8IB0h2ZAr/RA==" spinCount="100000" sheet="1" objects="1" scenarios="1" selectLockedCells="1" sort="0" autoFilter="0"/>
  <protectedRanges>
    <protectedRange password="DDDF" sqref="A1:XFD1 A3:XFD1048576 B2:XFD2" name="miscadmin"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9" priority="10" stopIfTrue="1">
      <formula>LEFT($D5,1)="W"</formula>
    </cfRule>
  </conditionalFormatting>
  <conditionalFormatting sqref="D68 D65">
    <cfRule type="expression" dxfId="38" priority="9" stopIfTrue="1">
      <formula>LEFT($D65,1)="W"</formula>
    </cfRule>
  </conditionalFormatting>
  <conditionalFormatting sqref="D28 D26 D24 D21 D19 D17 D15 D13 D11 D9">
    <cfRule type="expression" dxfId="37" priority="7" stopIfTrue="1">
      <formula>LEFT($D9,1)="W"</formula>
    </cfRule>
  </conditionalFormatting>
  <conditionalFormatting sqref="D7">
    <cfRule type="expression" dxfId="36" priority="8" stopIfTrue="1">
      <formula>LEFT($D7,1)="W"</formula>
    </cfRule>
  </conditionalFormatting>
  <conditionalFormatting sqref="D40 D38 D36 D34 D32 D30">
    <cfRule type="expression" dxfId="35" priority="6" stopIfTrue="1">
      <formula>LEFT($D30,1)="W"</formula>
    </cfRule>
  </conditionalFormatting>
  <conditionalFormatting sqref="D42">
    <cfRule type="expression" dxfId="34" priority="5" stopIfTrue="1">
      <formula>LEFT($D42,1)="W"</formula>
    </cfRule>
  </conditionalFormatting>
  <conditionalFormatting sqref="D49 D47 D45">
    <cfRule type="expression" dxfId="33" priority="4" stopIfTrue="1">
      <formula>LEFT($D45,1)="W"</formula>
    </cfRule>
  </conditionalFormatting>
  <conditionalFormatting sqref="D52">
    <cfRule type="expression" dxfId="32" priority="3" stopIfTrue="1">
      <formula>LEFT($D52,1)="W"</formula>
    </cfRule>
  </conditionalFormatting>
  <conditionalFormatting sqref="D62 D60 D58 D56 D54">
    <cfRule type="expression" dxfId="31" priority="2" stopIfTrue="1">
      <formula>LEFT($D54,1)="W"</formula>
    </cfRule>
  </conditionalFormatting>
  <dataValidations count="3">
    <dataValidation type="list" allowBlank="1" showInputMessage="1" showErrorMessage="1" sqref="E65 E9 E11 E13 E15 E19 E21 E24 E26 E68 E17 E28 E5 E7 E32 E34 E36 E38 E30 E40 E42 E45 E47 E49 E52 E56 E58 E60 E62 E54">
      <formula1>ValidStatus</formula1>
    </dataValidation>
    <dataValidation type="list" allowBlank="1" showInputMessage="1" showErrorMessage="1" sqref="G65:H65 G68:H68 G21:H21 G26:H26 G24:H24 G9 G11 G13 G15 G19:H19 G17 G28:H28 G5 G7 G34:H34 G38:H38 G36:H36 G32:H32 G30 G40:H40 G42 G47:H47 G45:H45 G49:H49 G52:H52 G58:H58 G62:H62 G60:H60 G56:H56 G54">
      <formula1>ValidPhases</formula1>
    </dataValidation>
    <dataValidation type="list" allowBlank="1" showInputMessage="1" showErrorMessage="1" sqref="H9 H11 H13 H15 H17 H5 H7 H30 H42 H54">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I145"/>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7" t="str">
        <f ca="1">MID(CELL("filename",A1),FIND("]",CELL("filename",A1))+1,255)</f>
        <v>TestingDetail-cat-base</v>
      </c>
      <c r="B1" s="231"/>
      <c r="C1" s="232" t="str">
        <f>ProjectSummary!$D$1</f>
        <v xml:space="preserve"> -  /</v>
      </c>
      <c r="D1" s="232"/>
      <c r="E1" s="232"/>
      <c r="F1" s="232"/>
      <c r="G1" s="216"/>
      <c r="H1" s="217"/>
      <c r="I1" s="218"/>
    </row>
    <row r="2" spans="1:9" s="77" customFormat="1" ht="33" thickTop="1" thickBot="1" x14ac:dyDescent="0.3">
      <c r="A2" s="243" t="s">
        <v>489</v>
      </c>
      <c r="B2" s="219" t="s">
        <v>126</v>
      </c>
      <c r="C2" s="220" t="s">
        <v>0</v>
      </c>
      <c r="D2" s="221" t="s">
        <v>62</v>
      </c>
      <c r="E2" s="221" t="s">
        <v>61</v>
      </c>
      <c r="F2" s="222" t="s">
        <v>58</v>
      </c>
      <c r="G2" s="223" t="s">
        <v>201</v>
      </c>
      <c r="H2" s="224" t="s">
        <v>202</v>
      </c>
      <c r="I2" s="225" t="s">
        <v>60</v>
      </c>
    </row>
    <row r="3" spans="1:9" s="25" customFormat="1" ht="19.5" hidden="1" customHeight="1" thickTop="1" x14ac:dyDescent="0.25">
      <c r="A3" s="71"/>
      <c r="B3" s="135" t="s">
        <v>206</v>
      </c>
      <c r="C3" s="149" t="s">
        <v>204</v>
      </c>
      <c r="D3" s="103"/>
      <c r="E3" s="244" t="s">
        <v>205</v>
      </c>
      <c r="F3" s="244"/>
      <c r="G3" s="244"/>
      <c r="H3" s="104"/>
      <c r="I3" s="72"/>
    </row>
    <row r="4" spans="1:9" s="73" customFormat="1" ht="16.5" thickTop="1" x14ac:dyDescent="0.25">
      <c r="A4" s="155" t="str">
        <f>IF(AND(B4&lt;&gt;"",C4&lt;&gt;"",LEFT(B4,1)&lt;&gt;"#"),MAX(#REF!)+1,"")</f>
        <v/>
      </c>
      <c r="B4" s="156" t="s">
        <v>471</v>
      </c>
      <c r="C4" s="157"/>
      <c r="D4" s="158"/>
      <c r="E4" s="159"/>
      <c r="F4" s="160"/>
      <c r="G4" s="160"/>
      <c r="H4" s="161"/>
      <c r="I4" s="162"/>
    </row>
    <row r="5" spans="1:9" ht="30" x14ac:dyDescent="0.25">
      <c r="A5" s="52">
        <f>IF(AND(B5&lt;&gt;"",C5&lt;&gt;"",LEFT(B5,1)&lt;&gt;"#"),MAX($A$2:A4)+1,"")</f>
        <v>1</v>
      </c>
      <c r="B5" s="14" t="s">
        <v>1</v>
      </c>
      <c r="C5" s="86" t="s">
        <v>2</v>
      </c>
      <c r="D5" s="51"/>
      <c r="E5" s="56"/>
      <c r="F5" s="26"/>
      <c r="G5" s="69"/>
      <c r="H5" s="74"/>
      <c r="I5" s="67"/>
    </row>
    <row r="6" spans="1:9" x14ac:dyDescent="0.25">
      <c r="A6" s="58"/>
      <c r="B6" s="135" t="str">
        <f>$B$3</f>
        <v>( Add new test case )</v>
      </c>
      <c r="C6" s="149" t="str">
        <f>$C$3</f>
        <v>( Remove previous test result )</v>
      </c>
      <c r="D6" s="103"/>
      <c r="E6" s="244" t="s">
        <v>205</v>
      </c>
      <c r="F6" s="244"/>
      <c r="G6" s="244"/>
      <c r="H6" s="104"/>
      <c r="I6" s="66"/>
    </row>
    <row r="7" spans="1:9" ht="30" x14ac:dyDescent="0.25">
      <c r="A7" s="52">
        <f>IF(AND(B7&lt;&gt;"",C7&lt;&gt;"",LEFT(B7,1)&lt;&gt;"#"),MAX($A$2:A6)+1,"")</f>
        <v>2</v>
      </c>
      <c r="B7" s="14" t="s">
        <v>254</v>
      </c>
      <c r="C7" s="86" t="s">
        <v>255</v>
      </c>
      <c r="D7" s="153"/>
      <c r="E7" s="55"/>
      <c r="F7" s="23"/>
      <c r="G7" s="70"/>
      <c r="H7" s="75"/>
      <c r="I7" s="67"/>
    </row>
    <row r="8" spans="1:9" x14ac:dyDescent="0.25">
      <c r="A8" s="58"/>
      <c r="B8" s="135" t="str">
        <f>$B$3</f>
        <v>( Add new test case )</v>
      </c>
      <c r="C8" s="149" t="str">
        <f>$C$3</f>
        <v>( Remove previous test result )</v>
      </c>
      <c r="D8" s="103"/>
      <c r="E8" s="244" t="s">
        <v>205</v>
      </c>
      <c r="F8" s="244"/>
      <c r="G8" s="244"/>
      <c r="H8" s="104"/>
      <c r="I8" s="66"/>
    </row>
    <row r="9" spans="1:9" ht="45" x14ac:dyDescent="0.25">
      <c r="A9" s="52">
        <f>IF(AND(B9&lt;&gt;"",C9&lt;&gt;"",LEFT(B9,1)&lt;&gt;"#"),MAX($A$2:A8)+1,"")</f>
        <v>3</v>
      </c>
      <c r="B9" s="15" t="s">
        <v>256</v>
      </c>
      <c r="C9" s="87" t="s">
        <v>257</v>
      </c>
      <c r="D9" s="153"/>
      <c r="E9" s="55"/>
      <c r="F9" s="23"/>
      <c r="G9" s="70"/>
      <c r="H9" s="75"/>
      <c r="I9" s="67"/>
    </row>
    <row r="10" spans="1:9" x14ac:dyDescent="0.25">
      <c r="A10" s="58"/>
      <c r="B10" s="135" t="str">
        <f>$B$3</f>
        <v>( Add new test case )</v>
      </c>
      <c r="C10" s="149" t="str">
        <f>$C$3</f>
        <v>( Remove previous test result )</v>
      </c>
      <c r="D10" s="103"/>
      <c r="E10" s="244" t="s">
        <v>205</v>
      </c>
      <c r="F10" s="244"/>
      <c r="G10" s="244"/>
      <c r="H10" s="104"/>
      <c r="I10" s="66"/>
    </row>
    <row r="11" spans="1:9" ht="60" x14ac:dyDescent="0.25">
      <c r="A11" s="52">
        <f>IF(AND(B11&lt;&gt;"",C11&lt;&gt;"",LEFT(B11,1)&lt;&gt;"#"),MAX($A$2:A10)+1,"")</f>
        <v>4</v>
      </c>
      <c r="B11" s="15" t="s">
        <v>258</v>
      </c>
      <c r="C11" s="87" t="s">
        <v>259</v>
      </c>
      <c r="D11" s="153"/>
      <c r="E11" s="55"/>
      <c r="F11" s="23"/>
      <c r="G11" s="70"/>
      <c r="H11" s="75"/>
      <c r="I11" s="67"/>
    </row>
    <row r="12" spans="1:9" x14ac:dyDescent="0.25">
      <c r="A12" s="58"/>
      <c r="B12" s="135" t="str">
        <f>$B$3</f>
        <v>( Add new test case )</v>
      </c>
      <c r="C12" s="149" t="str">
        <f>$C$3</f>
        <v>( Remove previous test result )</v>
      </c>
      <c r="D12" s="103"/>
      <c r="E12" s="244" t="s">
        <v>205</v>
      </c>
      <c r="F12" s="244"/>
      <c r="G12" s="244"/>
      <c r="H12" s="104"/>
      <c r="I12" s="66"/>
    </row>
    <row r="13" spans="1:9" ht="30" x14ac:dyDescent="0.25">
      <c r="A13" s="52">
        <f>IF(AND(B13&lt;&gt;"",C13&lt;&gt;"",LEFT(B13,1)&lt;&gt;"#"),MAX($A$2:A12)+1,"")</f>
        <v>5</v>
      </c>
      <c r="B13" s="15" t="s">
        <v>260</v>
      </c>
      <c r="C13" s="87" t="s">
        <v>261</v>
      </c>
      <c r="D13" s="153"/>
      <c r="E13" s="55"/>
      <c r="F13" s="23"/>
      <c r="G13" s="70"/>
      <c r="H13" s="75"/>
      <c r="I13" s="67"/>
    </row>
    <row r="14" spans="1:9" x14ac:dyDescent="0.25">
      <c r="A14" s="58"/>
      <c r="B14" s="135" t="str">
        <f>$B$3</f>
        <v>( Add new test case )</v>
      </c>
      <c r="C14" s="149" t="str">
        <f>$C$3</f>
        <v>( Remove previous test result )</v>
      </c>
      <c r="D14" s="103"/>
      <c r="E14" s="244" t="s">
        <v>205</v>
      </c>
      <c r="F14" s="244"/>
      <c r="G14" s="244"/>
      <c r="H14" s="104"/>
      <c r="I14" s="66"/>
    </row>
    <row r="15" spans="1:9" ht="45" x14ac:dyDescent="0.25">
      <c r="A15" s="52">
        <f>IF(AND(B15&lt;&gt;"",C15&lt;&gt;"",LEFT(B15,1)&lt;&gt;"#"),MAX($A$2:A14)+1,"")</f>
        <v>6</v>
      </c>
      <c r="B15" s="15" t="s">
        <v>262</v>
      </c>
      <c r="C15" s="87" t="s">
        <v>8</v>
      </c>
      <c r="D15" s="153"/>
      <c r="E15" s="55"/>
      <c r="F15" s="23" t="str">
        <f t="shared" ref="F15:F26" ca="1" si="0">IF(E15&lt;&gt;"",NOW(),"")</f>
        <v/>
      </c>
      <c r="G15" s="70"/>
      <c r="H15" s="75"/>
      <c r="I15" s="67"/>
    </row>
    <row r="16" spans="1:9" x14ac:dyDescent="0.25">
      <c r="A16" s="58"/>
      <c r="B16" s="135" t="str">
        <f>$B$3</f>
        <v>( Add new test case )</v>
      </c>
      <c r="C16" s="149" t="str">
        <f>$C$3</f>
        <v>( Remove previous test result )</v>
      </c>
      <c r="D16" s="103"/>
      <c r="E16" s="244" t="s">
        <v>205</v>
      </c>
      <c r="F16" s="244"/>
      <c r="G16" s="244"/>
      <c r="H16" s="104"/>
      <c r="I16" s="66"/>
    </row>
    <row r="17" spans="1:9" ht="30" x14ac:dyDescent="0.25">
      <c r="A17" s="52">
        <f>IF(AND(B17&lt;&gt;"",C17&lt;&gt;"",LEFT(B17,1)&lt;&gt;"#"),MAX($A$2:A16)+1,"")</f>
        <v>7</v>
      </c>
      <c r="B17" s="15" t="s">
        <v>132</v>
      </c>
      <c r="C17" s="87" t="s">
        <v>263</v>
      </c>
      <c r="D17" s="153"/>
      <c r="E17" s="55"/>
      <c r="F17" s="23"/>
      <c r="G17" s="70"/>
      <c r="H17" s="75"/>
      <c r="I17" s="81" t="s">
        <v>264</v>
      </c>
    </row>
    <row r="18" spans="1:9" x14ac:dyDescent="0.25">
      <c r="A18" s="121"/>
      <c r="B18" s="135" t="str">
        <f>$B$3</f>
        <v>( Add new test case )</v>
      </c>
      <c r="C18" s="149" t="str">
        <f>$C$3</f>
        <v>( Remove previous test result )</v>
      </c>
      <c r="D18" s="103"/>
      <c r="E18" s="244" t="s">
        <v>205</v>
      </c>
      <c r="F18" s="244"/>
      <c r="G18" s="244"/>
      <c r="H18" s="104"/>
      <c r="I18" s="83"/>
    </row>
    <row r="19" spans="1:9" ht="15.75" x14ac:dyDescent="0.25">
      <c r="A19" s="124" t="str">
        <f>IF(AND(B19&lt;&gt;"",C19&lt;&gt;"",LEFT(B19,1)&lt;&gt;"#"),MAX(#REF!)+1,"")</f>
        <v/>
      </c>
      <c r="B19" s="150" t="s">
        <v>265</v>
      </c>
      <c r="C19" s="125"/>
      <c r="D19" s="126"/>
      <c r="E19" s="127"/>
      <c r="F19" s="128"/>
      <c r="G19" s="128"/>
      <c r="H19" s="129"/>
      <c r="I19" s="130"/>
    </row>
    <row r="20" spans="1:9" ht="30" x14ac:dyDescent="0.25">
      <c r="A20" s="52">
        <f>IF(AND(B20&lt;&gt;"",C20&lt;&gt;"",LEFT(B20,1)&lt;&gt;"#"),MAX($A$2:A18)+1,"")</f>
        <v>8</v>
      </c>
      <c r="B20" s="14" t="s">
        <v>267</v>
      </c>
      <c r="C20" s="86" t="s">
        <v>268</v>
      </c>
      <c r="D20" s="51"/>
      <c r="E20" s="56"/>
      <c r="F20" s="26" t="str">
        <f t="shared" ca="1" si="0"/>
        <v/>
      </c>
      <c r="G20" s="69"/>
      <c r="H20" s="74"/>
      <c r="I20" s="65"/>
    </row>
    <row r="21" spans="1:9" x14ac:dyDescent="0.25">
      <c r="A21" s="58"/>
      <c r="B21" s="135" t="str">
        <f>$B$3</f>
        <v>( Add new test case )</v>
      </c>
      <c r="C21" s="149" t="str">
        <f>$C$3</f>
        <v>( Remove previous test result )</v>
      </c>
      <c r="D21" s="103"/>
      <c r="E21" s="244" t="s">
        <v>205</v>
      </c>
      <c r="F21" s="244"/>
      <c r="G21" s="244"/>
      <c r="H21" s="104"/>
      <c r="I21" s="66"/>
    </row>
    <row r="22" spans="1:9" ht="45" x14ac:dyDescent="0.25">
      <c r="A22" s="52">
        <f>IF(AND(B22&lt;&gt;"",C22&lt;&gt;"",LEFT(B22,1)&lt;&gt;"#"),MAX($A$2:A21)+1,"")</f>
        <v>9</v>
      </c>
      <c r="B22" s="16" t="s">
        <v>269</v>
      </c>
      <c r="C22" s="16" t="s">
        <v>270</v>
      </c>
      <c r="D22" s="153"/>
      <c r="E22" s="55"/>
      <c r="F22" s="23" t="str">
        <f t="shared" ca="1" si="0"/>
        <v/>
      </c>
      <c r="G22" s="70"/>
      <c r="H22" s="75"/>
      <c r="I22" s="67"/>
    </row>
    <row r="23" spans="1:9" x14ac:dyDescent="0.25">
      <c r="A23" s="58"/>
      <c r="B23" s="135" t="str">
        <f>$B$3</f>
        <v>( Add new test case )</v>
      </c>
      <c r="C23" s="149" t="str">
        <f>$C$3</f>
        <v>( Remove previous test result )</v>
      </c>
      <c r="D23" s="103"/>
      <c r="E23" s="244" t="s">
        <v>205</v>
      </c>
      <c r="F23" s="244"/>
      <c r="G23" s="244"/>
      <c r="H23" s="104"/>
      <c r="I23" s="66"/>
    </row>
    <row r="24" spans="1:9" ht="30" x14ac:dyDescent="0.25">
      <c r="A24" s="52">
        <f>IF(AND(B24&lt;&gt;"",C24&lt;&gt;"",LEFT(B24,1)&lt;&gt;"#"),MAX($A$2:A23)+1,"")</f>
        <v>10</v>
      </c>
      <c r="B24" s="17" t="s">
        <v>271</v>
      </c>
      <c r="C24" s="17" t="s">
        <v>272</v>
      </c>
      <c r="D24" s="153"/>
      <c r="E24" s="55"/>
      <c r="F24" s="23" t="str">
        <f t="shared" ca="1" si="0"/>
        <v/>
      </c>
      <c r="G24" s="70"/>
      <c r="H24" s="75"/>
      <c r="I24" s="67"/>
    </row>
    <row r="25" spans="1:9" x14ac:dyDescent="0.25">
      <c r="A25" s="58"/>
      <c r="B25" s="135" t="str">
        <f>$B$3</f>
        <v>( Add new test case )</v>
      </c>
      <c r="C25" s="149" t="str">
        <f>$C$3</f>
        <v>( Remove previous test result )</v>
      </c>
      <c r="D25" s="103"/>
      <c r="E25" s="244" t="s">
        <v>205</v>
      </c>
      <c r="F25" s="244"/>
      <c r="G25" s="244"/>
      <c r="H25" s="104"/>
      <c r="I25" s="66"/>
    </row>
    <row r="26" spans="1:9" x14ac:dyDescent="0.25">
      <c r="A26" s="52">
        <f>IF(AND(B26&lt;&gt;"",C26&lt;&gt;"",LEFT(B26,1)&lt;&gt;"#"),MAX($A$2:A25)+1,"")</f>
        <v>11</v>
      </c>
      <c r="B26" s="16" t="s">
        <v>273</v>
      </c>
      <c r="C26" s="16" t="s">
        <v>274</v>
      </c>
      <c r="D26" s="153"/>
      <c r="E26" s="55"/>
      <c r="F26" s="23" t="str">
        <f t="shared" ca="1" si="0"/>
        <v/>
      </c>
      <c r="G26" s="70"/>
      <c r="H26" s="75"/>
      <c r="I26" s="67"/>
    </row>
    <row r="27" spans="1:9" x14ac:dyDescent="0.25">
      <c r="A27" s="58"/>
      <c r="B27" s="135" t="str">
        <f>$B$3</f>
        <v>( Add new test case )</v>
      </c>
      <c r="C27" s="149" t="str">
        <f>$C$3</f>
        <v>( Remove previous test result )</v>
      </c>
      <c r="D27" s="103"/>
      <c r="E27" s="244" t="s">
        <v>205</v>
      </c>
      <c r="F27" s="244"/>
      <c r="G27" s="244"/>
      <c r="H27" s="104"/>
      <c r="I27" s="66"/>
    </row>
    <row r="28" spans="1:9" x14ac:dyDescent="0.25">
      <c r="A28" s="52">
        <f>IF(AND(B28&lt;&gt;"",C28&lt;&gt;"",LEFT(B28,1)&lt;&gt;"#"),MAX($A$2:A27)+1,"")</f>
        <v>12</v>
      </c>
      <c r="B28" s="16" t="s">
        <v>275</v>
      </c>
      <c r="C28" s="16" t="s">
        <v>274</v>
      </c>
      <c r="D28" s="153"/>
      <c r="E28" s="55"/>
      <c r="F28" s="23"/>
      <c r="G28" s="70"/>
      <c r="H28" s="75"/>
      <c r="I28" s="67"/>
    </row>
    <row r="29" spans="1:9" x14ac:dyDescent="0.25">
      <c r="A29" s="58"/>
      <c r="B29" s="135" t="str">
        <f>$B$3</f>
        <v>( Add new test case )</v>
      </c>
      <c r="C29" s="149" t="str">
        <f>$C$3</f>
        <v>( Remove previous test result )</v>
      </c>
      <c r="D29" s="103"/>
      <c r="E29" s="244" t="s">
        <v>205</v>
      </c>
      <c r="F29" s="244"/>
      <c r="G29" s="244"/>
      <c r="H29" s="104"/>
      <c r="I29" s="66"/>
    </row>
    <row r="30" spans="1:9" ht="30" x14ac:dyDescent="0.25">
      <c r="A30" s="52">
        <f>IF(AND(B30&lt;&gt;"",C30&lt;&gt;"",LEFT(B30,1)&lt;&gt;"#"),MAX($A$2:A29)+1,"")</f>
        <v>13</v>
      </c>
      <c r="B30" s="93" t="s">
        <v>276</v>
      </c>
      <c r="C30" s="93" t="s">
        <v>277</v>
      </c>
      <c r="D30" s="153"/>
      <c r="E30" s="55"/>
      <c r="F30" s="23"/>
      <c r="G30" s="70"/>
      <c r="H30" s="75"/>
      <c r="I30" s="67"/>
    </row>
    <row r="31" spans="1:9" x14ac:dyDescent="0.25">
      <c r="A31" s="58"/>
      <c r="B31" s="135" t="str">
        <f>$B$3</f>
        <v>( Add new test case )</v>
      </c>
      <c r="C31" s="149" t="str">
        <f>$C$3</f>
        <v>( Remove previous test result )</v>
      </c>
      <c r="D31" s="103"/>
      <c r="E31" s="244" t="s">
        <v>205</v>
      </c>
      <c r="F31" s="244"/>
      <c r="G31" s="244"/>
      <c r="H31" s="104"/>
      <c r="I31" s="66"/>
    </row>
    <row r="32" spans="1:9" ht="30" x14ac:dyDescent="0.25">
      <c r="A32" s="52">
        <f>IF(AND(B32&lt;&gt;"",C32&lt;&gt;"",LEFT(B32,1)&lt;&gt;"#"),MAX($A$2:A31)+1,"")</f>
        <v>14</v>
      </c>
      <c r="B32" s="15" t="s">
        <v>278</v>
      </c>
      <c r="C32" s="87" t="s">
        <v>279</v>
      </c>
      <c r="D32" s="153"/>
      <c r="E32" s="55"/>
      <c r="F32" s="23" t="str">
        <f t="shared" ref="F32" ca="1" si="1">IF(E32&lt;&gt;"",NOW(),"")</f>
        <v/>
      </c>
      <c r="G32" s="70"/>
      <c r="H32" s="75"/>
      <c r="I32" s="67"/>
    </row>
    <row r="33" spans="1:9" x14ac:dyDescent="0.25">
      <c r="A33" s="121"/>
      <c r="B33" s="135" t="str">
        <f>$B$3</f>
        <v>( Add new test case )</v>
      </c>
      <c r="C33" s="149" t="str">
        <f>$C$3</f>
        <v>( Remove previous test result )</v>
      </c>
      <c r="D33" s="103"/>
      <c r="E33" s="244" t="s">
        <v>205</v>
      </c>
      <c r="F33" s="244"/>
      <c r="G33" s="244"/>
      <c r="H33" s="104"/>
      <c r="I33" s="83"/>
    </row>
    <row r="34" spans="1:9" ht="15.75" x14ac:dyDescent="0.25">
      <c r="A34" s="124" t="str">
        <f>IF(AND(B34&lt;&gt;"",C34&lt;&gt;"",LEFT(B34,1)&lt;&gt;"#"),MAX(#REF!)+1,"")</f>
        <v/>
      </c>
      <c r="B34" s="150" t="s">
        <v>266</v>
      </c>
      <c r="C34" s="125"/>
      <c r="D34" s="126"/>
      <c r="E34" s="127"/>
      <c r="F34" s="128"/>
      <c r="G34" s="128"/>
      <c r="H34" s="129"/>
      <c r="I34" s="130"/>
    </row>
    <row r="35" spans="1:9" ht="60" x14ac:dyDescent="0.25">
      <c r="A35" s="52">
        <f>IF(AND(B35&lt;&gt;"",C35&lt;&gt;"",LEFT(B35,1)&lt;&gt;"#"),MAX($A$2:A33)+1,"")</f>
        <v>15</v>
      </c>
      <c r="B35" s="14" t="s">
        <v>280</v>
      </c>
      <c r="C35" s="86" t="s">
        <v>281</v>
      </c>
      <c r="D35" s="51"/>
      <c r="E35" s="56"/>
      <c r="F35" s="26" t="str">
        <f t="shared" ref="F35" ca="1" si="2">IF(E35&lt;&gt;"",NOW(),"")</f>
        <v/>
      </c>
      <c r="G35" s="69"/>
      <c r="H35" s="74"/>
      <c r="I35" s="65"/>
    </row>
    <row r="36" spans="1:9" x14ac:dyDescent="0.25">
      <c r="A36" s="58"/>
      <c r="B36" s="135" t="str">
        <f>$B$3</f>
        <v>( Add new test case )</v>
      </c>
      <c r="C36" s="149" t="str">
        <f>$C$3</f>
        <v>( Remove previous test result )</v>
      </c>
      <c r="D36" s="103"/>
      <c r="E36" s="244" t="s">
        <v>205</v>
      </c>
      <c r="F36" s="244"/>
      <c r="G36" s="244"/>
      <c r="H36" s="104"/>
      <c r="I36" s="66"/>
    </row>
    <row r="37" spans="1:9" ht="60" x14ac:dyDescent="0.25">
      <c r="A37" s="52">
        <f>IF(AND(B37&lt;&gt;"",C37&lt;&gt;"",LEFT(B37,1)&lt;&gt;"#"),MAX($A$2:A36)+1,"")</f>
        <v>16</v>
      </c>
      <c r="B37" s="19" t="s">
        <v>282</v>
      </c>
      <c r="C37" s="89" t="s">
        <v>283</v>
      </c>
      <c r="D37" s="153"/>
      <c r="E37" s="55"/>
      <c r="F37" s="23" t="str">
        <f t="shared" ref="F37" ca="1" si="3">IF(E37&lt;&gt;"",NOW(),"")</f>
        <v/>
      </c>
      <c r="G37" s="70"/>
      <c r="H37" s="75"/>
      <c r="I37" s="67"/>
    </row>
    <row r="38" spans="1:9" x14ac:dyDescent="0.25">
      <c r="A38" s="58"/>
      <c r="B38" s="135" t="str">
        <f>$B$3</f>
        <v>( Add new test case )</v>
      </c>
      <c r="C38" s="149" t="str">
        <f>$C$3</f>
        <v>( Remove previous test result )</v>
      </c>
      <c r="D38" s="103"/>
      <c r="E38" s="244" t="s">
        <v>205</v>
      </c>
      <c r="F38" s="244"/>
      <c r="G38" s="244"/>
      <c r="H38" s="104"/>
      <c r="I38" s="66"/>
    </row>
    <row r="39" spans="1:9" x14ac:dyDescent="0.25">
      <c r="A39" s="52">
        <f>IF(AND(B39&lt;&gt;"",C39&lt;&gt;"",LEFT(B39,1)&lt;&gt;"#"),MAX($A$2:A38)+1,"")</f>
        <v>17</v>
      </c>
      <c r="B39" s="19" t="s">
        <v>284</v>
      </c>
      <c r="C39" s="89" t="s">
        <v>285</v>
      </c>
      <c r="D39" s="153"/>
      <c r="E39" s="55"/>
      <c r="F39" s="23"/>
      <c r="G39" s="70"/>
      <c r="H39" s="75"/>
      <c r="I39" s="67"/>
    </row>
    <row r="40" spans="1:9" x14ac:dyDescent="0.25">
      <c r="A40" s="58"/>
      <c r="B40" s="135" t="str">
        <f>$B$3</f>
        <v>( Add new test case )</v>
      </c>
      <c r="C40" s="149" t="str">
        <f>$C$3</f>
        <v>( Remove previous test result )</v>
      </c>
      <c r="D40" s="103"/>
      <c r="E40" s="244" t="s">
        <v>205</v>
      </c>
      <c r="F40" s="244"/>
      <c r="G40" s="244"/>
      <c r="H40" s="104"/>
      <c r="I40" s="66"/>
    </row>
    <row r="41" spans="1:9" x14ac:dyDescent="0.25">
      <c r="A41" s="52">
        <f>IF(AND(B41&lt;&gt;"",C41&lt;&gt;"",LEFT(B41,1)&lt;&gt;"#"),MAX($A$2:A40)+1,"")</f>
        <v>18</v>
      </c>
      <c r="B41" s="19" t="s">
        <v>286</v>
      </c>
      <c r="C41" s="89" t="s">
        <v>287</v>
      </c>
      <c r="D41" s="153"/>
      <c r="E41" s="55"/>
      <c r="F41" s="23"/>
      <c r="G41" s="70"/>
      <c r="H41" s="75"/>
      <c r="I41" s="67"/>
    </row>
    <row r="42" spans="1:9" x14ac:dyDescent="0.25">
      <c r="A42" s="58"/>
      <c r="B42" s="135" t="str">
        <f>$B$3</f>
        <v>( Add new test case )</v>
      </c>
      <c r="C42" s="149" t="str">
        <f>$C$3</f>
        <v>( Remove previous test result )</v>
      </c>
      <c r="D42" s="103"/>
      <c r="E42" s="244" t="s">
        <v>205</v>
      </c>
      <c r="F42" s="244"/>
      <c r="G42" s="244"/>
      <c r="H42" s="104"/>
      <c r="I42" s="66"/>
    </row>
    <row r="43" spans="1:9" ht="30" x14ac:dyDescent="0.25">
      <c r="A43" s="52">
        <f>IF(AND(B43&lt;&gt;"",C43&lt;&gt;"",LEFT(B43,1)&lt;&gt;"#"),MAX($A$2:A42)+1,"")</f>
        <v>19</v>
      </c>
      <c r="B43" s="19" t="s">
        <v>288</v>
      </c>
      <c r="C43" s="89" t="s">
        <v>289</v>
      </c>
      <c r="D43" s="153"/>
      <c r="E43" s="55"/>
      <c r="F43" s="23" t="str">
        <f t="shared" ref="F43" ca="1" si="4">IF(E43&lt;&gt;"",NOW(),"")</f>
        <v/>
      </c>
      <c r="G43" s="70"/>
      <c r="H43" s="75"/>
      <c r="I43" s="67"/>
    </row>
    <row r="44" spans="1:9" x14ac:dyDescent="0.25">
      <c r="A44" s="58"/>
      <c r="B44" s="135" t="str">
        <f>$B$3</f>
        <v>( Add new test case )</v>
      </c>
      <c r="C44" s="149" t="str">
        <f>$C$3</f>
        <v>( Remove previous test result )</v>
      </c>
      <c r="D44" s="103"/>
      <c r="E44" s="244" t="s">
        <v>205</v>
      </c>
      <c r="F44" s="244"/>
      <c r="G44" s="244"/>
      <c r="H44" s="104"/>
      <c r="I44" s="66"/>
    </row>
    <row r="45" spans="1:9" ht="30" x14ac:dyDescent="0.25">
      <c r="A45" s="52">
        <f>IF(AND(B45&lt;&gt;"",C45&lt;&gt;"",LEFT(B45,1)&lt;&gt;"#"),MAX($A$2:A44)+1,"")</f>
        <v>20</v>
      </c>
      <c r="B45" s="19" t="s">
        <v>290</v>
      </c>
      <c r="C45" s="89" t="s">
        <v>285</v>
      </c>
      <c r="D45" s="153"/>
      <c r="E45" s="55"/>
      <c r="F45" s="23" t="str">
        <f t="shared" ref="F45" ca="1" si="5">IF(E45&lt;&gt;"",NOW(),"")</f>
        <v/>
      </c>
      <c r="G45" s="70"/>
      <c r="H45" s="75"/>
      <c r="I45" s="67"/>
    </row>
    <row r="46" spans="1:9" x14ac:dyDescent="0.25">
      <c r="A46" s="58"/>
      <c r="B46" s="135" t="str">
        <f>$B$3</f>
        <v>( Add new test case )</v>
      </c>
      <c r="C46" s="149" t="str">
        <f>$C$3</f>
        <v>( Remove previous test result )</v>
      </c>
      <c r="D46" s="103"/>
      <c r="E46" s="244" t="s">
        <v>205</v>
      </c>
      <c r="F46" s="244"/>
      <c r="G46" s="244"/>
      <c r="H46" s="104"/>
      <c r="I46" s="66"/>
    </row>
    <row r="47" spans="1:9" ht="30" x14ac:dyDescent="0.25">
      <c r="A47" s="52">
        <f>IF(AND(B47&lt;&gt;"",C47&lt;&gt;"",LEFT(B47,1)&lt;&gt;"#"),MAX($A$2:A46)+1,"")</f>
        <v>21</v>
      </c>
      <c r="B47" s="19" t="s">
        <v>291</v>
      </c>
      <c r="C47" s="89" t="s">
        <v>285</v>
      </c>
      <c r="D47" s="153"/>
      <c r="E47" s="55"/>
      <c r="F47" s="23" t="str">
        <f t="shared" ref="F47" ca="1" si="6">IF(E47&lt;&gt;"",NOW(),"")</f>
        <v/>
      </c>
      <c r="G47" s="70"/>
      <c r="H47" s="75"/>
      <c r="I47" s="67"/>
    </row>
    <row r="48" spans="1:9" x14ac:dyDescent="0.25">
      <c r="A48" s="58"/>
      <c r="B48" s="135" t="str">
        <f>$B$3</f>
        <v>( Add new test case )</v>
      </c>
      <c r="C48" s="149" t="str">
        <f>$C$3</f>
        <v>( Remove previous test result )</v>
      </c>
      <c r="D48" s="103"/>
      <c r="E48" s="244" t="s">
        <v>205</v>
      </c>
      <c r="F48" s="244"/>
      <c r="G48" s="244"/>
      <c r="H48" s="104"/>
      <c r="I48" s="66"/>
    </row>
    <row r="49" spans="1:9" ht="30" x14ac:dyDescent="0.25">
      <c r="A49" s="52">
        <f>IF(AND(B49&lt;&gt;"",C49&lt;&gt;"",LEFT(B49,1)&lt;&gt;"#"),MAX($A$2:A48)+1,"")</f>
        <v>22</v>
      </c>
      <c r="B49" s="19" t="s">
        <v>292</v>
      </c>
      <c r="C49" s="89" t="s">
        <v>285</v>
      </c>
      <c r="D49" s="153"/>
      <c r="E49" s="55"/>
      <c r="F49" s="23" t="str">
        <f t="shared" ref="F49" ca="1" si="7">IF(E49&lt;&gt;"",NOW(),"")</f>
        <v/>
      </c>
      <c r="G49" s="70"/>
      <c r="H49" s="75"/>
      <c r="I49" s="67"/>
    </row>
    <row r="50" spans="1:9" x14ac:dyDescent="0.25">
      <c r="A50" s="58"/>
      <c r="B50" s="135" t="str">
        <f>$B$3</f>
        <v>( Add new test case )</v>
      </c>
      <c r="C50" s="149" t="str">
        <f>$C$3</f>
        <v>( Remove previous test result )</v>
      </c>
      <c r="D50" s="103"/>
      <c r="E50" s="244" t="s">
        <v>205</v>
      </c>
      <c r="F50" s="244"/>
      <c r="G50" s="244"/>
      <c r="H50" s="104"/>
      <c r="I50" s="66"/>
    </row>
    <row r="51" spans="1:9" ht="30" x14ac:dyDescent="0.25">
      <c r="A51" s="52">
        <f>IF(AND(B51&lt;&gt;"",C51&lt;&gt;"",LEFT(B51,1)&lt;&gt;"#"),MAX($A$2:A50)+1,"")</f>
        <v>23</v>
      </c>
      <c r="B51" s="19" t="s">
        <v>293</v>
      </c>
      <c r="C51" s="89" t="s">
        <v>285</v>
      </c>
      <c r="D51" s="153"/>
      <c r="E51" s="55"/>
      <c r="F51" s="23"/>
      <c r="G51" s="70"/>
      <c r="H51" s="75"/>
      <c r="I51" s="67"/>
    </row>
    <row r="52" spans="1:9" x14ac:dyDescent="0.25">
      <c r="A52" s="58"/>
      <c r="B52" s="135" t="str">
        <f>$B$3</f>
        <v>( Add new test case )</v>
      </c>
      <c r="C52" s="149" t="str">
        <f>$C$3</f>
        <v>( Remove previous test result )</v>
      </c>
      <c r="D52" s="103"/>
      <c r="E52" s="244" t="s">
        <v>205</v>
      </c>
      <c r="F52" s="244"/>
      <c r="G52" s="244"/>
      <c r="H52" s="104"/>
      <c r="I52" s="66"/>
    </row>
    <row r="53" spans="1:9" ht="30" x14ac:dyDescent="0.25">
      <c r="A53" s="52">
        <f>IF(AND(B53&lt;&gt;"",C53&lt;&gt;"",LEFT(B53,1)&lt;&gt;"#"),MAX($A$2:A52)+1,"")</f>
        <v>24</v>
      </c>
      <c r="B53" s="19" t="s">
        <v>294</v>
      </c>
      <c r="C53" s="89" t="s">
        <v>295</v>
      </c>
      <c r="D53" s="153"/>
      <c r="E53" s="55"/>
      <c r="F53" s="23"/>
      <c r="G53" s="70"/>
      <c r="H53" s="75"/>
      <c r="I53" s="67"/>
    </row>
    <row r="54" spans="1:9" x14ac:dyDescent="0.25">
      <c r="A54" s="58"/>
      <c r="B54" s="135" t="str">
        <f>$B$3</f>
        <v>( Add new test case )</v>
      </c>
      <c r="C54" s="149" t="str">
        <f>$C$3</f>
        <v>( Remove previous test result )</v>
      </c>
      <c r="D54" s="103"/>
      <c r="E54" s="244" t="s">
        <v>205</v>
      </c>
      <c r="F54" s="244"/>
      <c r="G54" s="244"/>
      <c r="H54" s="104"/>
      <c r="I54" s="66"/>
    </row>
    <row r="55" spans="1:9" ht="45" x14ac:dyDescent="0.25">
      <c r="A55" s="52">
        <f>IF(AND(B55&lt;&gt;"",C55&lt;&gt;"",LEFT(B55,1)&lt;&gt;"#"),MAX($A$2:A54)+1,"")</f>
        <v>25</v>
      </c>
      <c r="B55" s="19" t="s">
        <v>296</v>
      </c>
      <c r="C55" s="89" t="s">
        <v>297</v>
      </c>
      <c r="D55" s="153"/>
      <c r="E55" s="55"/>
      <c r="F55" s="23" t="str">
        <f t="shared" ref="F55" ca="1" si="8">IF(E55&lt;&gt;"",NOW(),"")</f>
        <v/>
      </c>
      <c r="G55" s="70"/>
      <c r="H55" s="75"/>
      <c r="I55" s="67"/>
    </row>
    <row r="56" spans="1:9" x14ac:dyDescent="0.25">
      <c r="A56" s="58"/>
      <c r="B56" s="135" t="str">
        <f>$B$3</f>
        <v>( Add new test case )</v>
      </c>
      <c r="C56" s="149" t="str">
        <f>$C$3</f>
        <v>( Remove previous test result )</v>
      </c>
      <c r="D56" s="103"/>
      <c r="E56" s="244" t="s">
        <v>205</v>
      </c>
      <c r="F56" s="244"/>
      <c r="G56" s="244"/>
      <c r="H56" s="104"/>
      <c r="I56" s="66"/>
    </row>
    <row r="57" spans="1:9" ht="30" x14ac:dyDescent="0.25">
      <c r="A57" s="52">
        <f>IF(AND(B57&lt;&gt;"",C57&lt;&gt;"",LEFT(B57,1)&lt;&gt;"#"),MAX($A$2:A56)+1,"")</f>
        <v>26</v>
      </c>
      <c r="B57" s="84" t="s">
        <v>212</v>
      </c>
      <c r="C57" s="84" t="s">
        <v>298</v>
      </c>
      <c r="D57" s="153"/>
      <c r="E57" s="55"/>
      <c r="F57" s="23" t="str">
        <f t="shared" ref="F57" ca="1" si="9">IF(E57&lt;&gt;"",NOW(),"")</f>
        <v/>
      </c>
      <c r="G57" s="70"/>
      <c r="H57" s="75"/>
      <c r="I57" s="80" t="s">
        <v>214</v>
      </c>
    </row>
    <row r="58" spans="1:9" x14ac:dyDescent="0.25">
      <c r="A58" s="121"/>
      <c r="B58" s="135" t="str">
        <f>$B$3</f>
        <v>( Add new test case )</v>
      </c>
      <c r="C58" s="149" t="str">
        <f>$C$3</f>
        <v>( Remove previous test result )</v>
      </c>
      <c r="D58" s="103"/>
      <c r="E58" s="244" t="s">
        <v>205</v>
      </c>
      <c r="F58" s="244"/>
      <c r="G58" s="244"/>
      <c r="H58" s="104"/>
      <c r="I58" s="83"/>
    </row>
    <row r="59" spans="1:9" ht="15.75" x14ac:dyDescent="0.25">
      <c r="A59" s="124" t="str">
        <f>IF(AND(B59&lt;&gt;"",C59&lt;&gt;"",LEFT(B59,1)&lt;&gt;"#"),MAX(#REF!)+1,"")</f>
        <v/>
      </c>
      <c r="B59" s="151" t="s">
        <v>299</v>
      </c>
      <c r="C59" s="125"/>
      <c r="D59" s="126"/>
      <c r="E59" s="127"/>
      <c r="F59" s="128"/>
      <c r="G59" s="128"/>
      <c r="H59" s="129"/>
      <c r="I59" s="130"/>
    </row>
    <row r="60" spans="1:9" ht="75" x14ac:dyDescent="0.25">
      <c r="A60" s="52">
        <f>IF(AND(B60&lt;&gt;"",C60&lt;&gt;"",LEFT(B60,1)&lt;&gt;"#"),MAX($A$2:A58)+1,"")</f>
        <v>27</v>
      </c>
      <c r="B60" s="14" t="s">
        <v>300</v>
      </c>
      <c r="C60" s="10" t="s">
        <v>301</v>
      </c>
      <c r="D60" s="51"/>
      <c r="E60" s="56"/>
      <c r="F60" s="26" t="str">
        <f t="shared" ref="F60" ca="1" si="10">IF(E60&lt;&gt;"",NOW(),"")</f>
        <v/>
      </c>
      <c r="G60" s="69"/>
      <c r="H60" s="74"/>
      <c r="I60" s="65" t="s">
        <v>302</v>
      </c>
    </row>
    <row r="61" spans="1:9" x14ac:dyDescent="0.25">
      <c r="A61" s="58"/>
      <c r="B61" s="135" t="str">
        <f>$B$3</f>
        <v>( Add new test case )</v>
      </c>
      <c r="C61" s="149" t="str">
        <f>$C$3</f>
        <v>( Remove previous test result )</v>
      </c>
      <c r="D61" s="103"/>
      <c r="E61" s="244" t="s">
        <v>205</v>
      </c>
      <c r="F61" s="244"/>
      <c r="G61" s="244"/>
      <c r="H61" s="104"/>
      <c r="I61" s="66"/>
    </row>
    <row r="62" spans="1:9" ht="60" x14ac:dyDescent="0.25">
      <c r="A62" s="52">
        <f>IF(AND(B62&lt;&gt;"",C62&lt;&gt;"",LEFT(B62,1)&lt;&gt;"#"),MAX($A$2:A61)+1,"")</f>
        <v>28</v>
      </c>
      <c r="B62" s="15" t="s">
        <v>220</v>
      </c>
      <c r="C62" s="4" t="s">
        <v>221</v>
      </c>
      <c r="D62" s="153"/>
      <c r="E62" s="55"/>
      <c r="F62" s="23" t="str">
        <f t="shared" ref="F62" ca="1" si="11">IF(E62&lt;&gt;"",NOW(),"")</f>
        <v/>
      </c>
      <c r="G62" s="70"/>
      <c r="H62" s="75"/>
      <c r="I62" s="81" t="s">
        <v>303</v>
      </c>
    </row>
    <row r="63" spans="1:9" x14ac:dyDescent="0.25">
      <c r="A63" s="58"/>
      <c r="B63" s="135" t="str">
        <f>$B$3</f>
        <v>( Add new test case )</v>
      </c>
      <c r="C63" s="149" t="str">
        <f>$C$3</f>
        <v>( Remove previous test result )</v>
      </c>
      <c r="D63" s="103"/>
      <c r="E63" s="244" t="s">
        <v>205</v>
      </c>
      <c r="F63" s="244"/>
      <c r="G63" s="244"/>
      <c r="H63" s="104"/>
      <c r="I63" s="66"/>
    </row>
    <row r="64" spans="1:9" ht="45" x14ac:dyDescent="0.25">
      <c r="A64" s="52">
        <f>IF(AND(B64&lt;&gt;"",C64&lt;&gt;"",LEFT(B64,1)&lt;&gt;"#"),MAX($A$2:A63)+1,"")</f>
        <v>29</v>
      </c>
      <c r="B64" s="15" t="s">
        <v>222</v>
      </c>
      <c r="C64" s="4" t="s">
        <v>223</v>
      </c>
      <c r="D64" s="153"/>
      <c r="E64" s="55"/>
      <c r="F64" s="23"/>
      <c r="G64" s="70"/>
      <c r="H64" s="75"/>
      <c r="I64" s="81" t="s">
        <v>303</v>
      </c>
    </row>
    <row r="65" spans="1:9" x14ac:dyDescent="0.25">
      <c r="A65" s="58"/>
      <c r="B65" s="135" t="str">
        <f>$B$3</f>
        <v>( Add new test case )</v>
      </c>
      <c r="C65" s="149" t="str">
        <f>$C$3</f>
        <v>( Remove previous test result )</v>
      </c>
      <c r="D65" s="103"/>
      <c r="E65" s="244" t="s">
        <v>205</v>
      </c>
      <c r="F65" s="244"/>
      <c r="G65" s="244"/>
      <c r="H65" s="104"/>
      <c r="I65" s="66"/>
    </row>
    <row r="66" spans="1:9" ht="45" x14ac:dyDescent="0.25">
      <c r="A66" s="52">
        <f>IF(AND(B66&lt;&gt;"",C66&lt;&gt;"",LEFT(B66,1)&lt;&gt;"#"),MAX($A$2:A65)+1,"")</f>
        <v>30</v>
      </c>
      <c r="B66" s="15" t="s">
        <v>222</v>
      </c>
      <c r="C66" s="4" t="s">
        <v>223</v>
      </c>
      <c r="D66" s="153"/>
      <c r="E66" s="55"/>
      <c r="F66" s="23"/>
      <c r="G66" s="70"/>
      <c r="H66" s="75"/>
      <c r="I66" s="67"/>
    </row>
    <row r="67" spans="1:9" x14ac:dyDescent="0.25">
      <c r="A67" s="58"/>
      <c r="B67" s="135" t="str">
        <f>$B$3</f>
        <v>( Add new test case )</v>
      </c>
      <c r="C67" s="149" t="str">
        <f>$C$3</f>
        <v>( Remove previous test result )</v>
      </c>
      <c r="D67" s="103"/>
      <c r="E67" s="244" t="s">
        <v>205</v>
      </c>
      <c r="F67" s="244"/>
      <c r="G67" s="244"/>
      <c r="H67" s="104"/>
      <c r="I67" s="66"/>
    </row>
    <row r="68" spans="1:9" x14ac:dyDescent="0.25">
      <c r="A68" s="52">
        <f>IF(AND(B68&lt;&gt;"",C68&lt;&gt;"",LEFT(B68,1)&lt;&gt;"#"),MAX($A$2:A67)+1,"")</f>
        <v>31</v>
      </c>
      <c r="B68" s="15" t="s">
        <v>304</v>
      </c>
      <c r="C68" s="4" t="s">
        <v>305</v>
      </c>
      <c r="D68" s="153"/>
      <c r="E68" s="55"/>
      <c r="F68" s="23"/>
      <c r="G68" s="70"/>
      <c r="H68" s="75"/>
      <c r="I68" s="67"/>
    </row>
    <row r="69" spans="1:9" x14ac:dyDescent="0.25">
      <c r="A69" s="58"/>
      <c r="B69" s="135" t="str">
        <f>$B$3</f>
        <v>( Add new test case )</v>
      </c>
      <c r="C69" s="149" t="str">
        <f>$C$3</f>
        <v>( Remove previous test result )</v>
      </c>
      <c r="D69" s="103"/>
      <c r="E69" s="244" t="s">
        <v>205</v>
      </c>
      <c r="F69" s="244"/>
      <c r="G69" s="244"/>
      <c r="H69" s="104"/>
      <c r="I69" s="66"/>
    </row>
    <row r="70" spans="1:9" ht="30" x14ac:dyDescent="0.25">
      <c r="A70" s="52">
        <f>IF(AND(B70&lt;&gt;"",C70&lt;&gt;"",LEFT(B70,1)&lt;&gt;"#"),MAX($A$2:A69)+1,"")</f>
        <v>32</v>
      </c>
      <c r="B70" s="15" t="s">
        <v>306</v>
      </c>
      <c r="C70" s="4" t="s">
        <v>307</v>
      </c>
      <c r="D70" s="153"/>
      <c r="E70" s="55"/>
      <c r="F70" s="23"/>
      <c r="G70" s="70"/>
      <c r="H70" s="75"/>
      <c r="I70" s="67"/>
    </row>
    <row r="71" spans="1:9" x14ac:dyDescent="0.25">
      <c r="A71" s="121"/>
      <c r="B71" s="135" t="str">
        <f>$B$3</f>
        <v>( Add new test case )</v>
      </c>
      <c r="C71" s="149" t="str">
        <f>$C$3</f>
        <v>( Remove previous test result )</v>
      </c>
      <c r="D71" s="103"/>
      <c r="E71" s="244" t="s">
        <v>205</v>
      </c>
      <c r="F71" s="244"/>
      <c r="G71" s="244"/>
      <c r="H71" s="104"/>
      <c r="I71" s="83"/>
    </row>
    <row r="72" spans="1:9" ht="15.75" x14ac:dyDescent="0.25">
      <c r="A72" s="124" t="str">
        <f>IF(AND(B72&lt;&gt;"",C72&lt;&gt;"",LEFT(B72,1)&lt;&gt;"#"),MAX(#REF!)+1,"")</f>
        <v/>
      </c>
      <c r="B72" s="151" t="s">
        <v>68</v>
      </c>
      <c r="C72" s="125"/>
      <c r="D72" s="126"/>
      <c r="E72" s="127"/>
      <c r="F72" s="128"/>
      <c r="G72" s="128"/>
      <c r="H72" s="129"/>
      <c r="I72" s="130"/>
    </row>
    <row r="73" spans="1:9" x14ac:dyDescent="0.25">
      <c r="A73" s="52">
        <f>IF(AND(B73&lt;&gt;"",C73&lt;&gt;"",LEFT(B73,1)&lt;&gt;"#"),MAX($A$2:A71)+1,"")</f>
        <v>33</v>
      </c>
      <c r="B73" s="14" t="s">
        <v>308</v>
      </c>
      <c r="C73" s="10" t="s">
        <v>309</v>
      </c>
      <c r="D73" s="51"/>
      <c r="E73" s="56"/>
      <c r="F73" s="26"/>
      <c r="G73" s="69"/>
      <c r="H73" s="74"/>
      <c r="I73" s="65"/>
    </row>
    <row r="74" spans="1:9" x14ac:dyDescent="0.25">
      <c r="A74" s="58"/>
      <c r="B74" s="135" t="str">
        <f>$B$3</f>
        <v>( Add new test case )</v>
      </c>
      <c r="C74" s="149" t="str">
        <f>$C$3</f>
        <v>( Remove previous test result )</v>
      </c>
      <c r="D74" s="103"/>
      <c r="E74" s="244" t="s">
        <v>205</v>
      </c>
      <c r="F74" s="244"/>
      <c r="G74" s="244"/>
      <c r="H74" s="104"/>
      <c r="I74" s="66"/>
    </row>
    <row r="75" spans="1:9" x14ac:dyDescent="0.25">
      <c r="A75" s="52">
        <f>IF(AND(B75&lt;&gt;"",C75&lt;&gt;"",LEFT(B75,1)&lt;&gt;"#"),MAX($A$2:A74)+1,"")</f>
        <v>34</v>
      </c>
      <c r="B75" s="15" t="s">
        <v>310</v>
      </c>
      <c r="C75" s="4" t="s">
        <v>311</v>
      </c>
      <c r="D75" s="153"/>
      <c r="E75" s="55"/>
      <c r="F75" s="23" t="str">
        <f t="shared" ref="F75" ca="1" si="12">IF(E75&lt;&gt;"",NOW(),"")</f>
        <v/>
      </c>
      <c r="G75" s="70"/>
      <c r="H75" s="75"/>
      <c r="I75" s="67"/>
    </row>
    <row r="76" spans="1:9" x14ac:dyDescent="0.25">
      <c r="A76" s="58"/>
      <c r="B76" s="135" t="str">
        <f>$B$3</f>
        <v>( Add new test case )</v>
      </c>
      <c r="C76" s="149" t="str">
        <f>$C$3</f>
        <v>( Remove previous test result )</v>
      </c>
      <c r="D76" s="103"/>
      <c r="E76" s="244" t="s">
        <v>205</v>
      </c>
      <c r="F76" s="244"/>
      <c r="G76" s="244"/>
      <c r="H76" s="104"/>
      <c r="I76" s="66"/>
    </row>
    <row r="77" spans="1:9" ht="30" x14ac:dyDescent="0.25">
      <c r="A77" s="52">
        <f>IF(AND(B77&lt;&gt;"",C77&lt;&gt;"",LEFT(B77,1)&lt;&gt;"#"),MAX($A$2:A76)+1,"")</f>
        <v>35</v>
      </c>
      <c r="B77" s="15" t="s">
        <v>312</v>
      </c>
      <c r="C77" s="4" t="s">
        <v>313</v>
      </c>
      <c r="D77" s="153"/>
      <c r="E77" s="55"/>
      <c r="F77" s="23" t="str">
        <f t="shared" ref="F77" ca="1" si="13">IF(E77&lt;&gt;"",NOW(),"")</f>
        <v/>
      </c>
      <c r="G77" s="70"/>
      <c r="H77" s="75"/>
      <c r="I77" s="67"/>
    </row>
    <row r="78" spans="1:9" x14ac:dyDescent="0.25">
      <c r="A78" s="58"/>
      <c r="B78" s="135" t="str">
        <f>$B$3</f>
        <v>( Add new test case )</v>
      </c>
      <c r="C78" s="149" t="str">
        <f>$C$3</f>
        <v>( Remove previous test result )</v>
      </c>
      <c r="D78" s="103"/>
      <c r="E78" s="244" t="s">
        <v>205</v>
      </c>
      <c r="F78" s="244"/>
      <c r="G78" s="244"/>
      <c r="H78" s="104"/>
      <c r="I78" s="66"/>
    </row>
    <row r="79" spans="1:9" x14ac:dyDescent="0.25">
      <c r="A79" s="52">
        <f>IF(AND(B79&lt;&gt;"",C79&lt;&gt;"",LEFT(B79,1)&lt;&gt;"#"),MAX($A$2:A78)+1,"")</f>
        <v>36</v>
      </c>
      <c r="B79" s="15" t="s">
        <v>314</v>
      </c>
      <c r="C79" s="4" t="s">
        <v>315</v>
      </c>
      <c r="D79" s="153"/>
      <c r="E79" s="55"/>
      <c r="F79" s="23" t="str">
        <f t="shared" ref="F79" ca="1" si="14">IF(E79&lt;&gt;"",NOW(),"")</f>
        <v/>
      </c>
      <c r="G79" s="70"/>
      <c r="H79" s="75"/>
      <c r="I79" s="67"/>
    </row>
    <row r="80" spans="1:9" x14ac:dyDescent="0.25">
      <c r="A80" s="58"/>
      <c r="B80" s="135" t="str">
        <f>$B$3</f>
        <v>( Add new test case )</v>
      </c>
      <c r="C80" s="149" t="str">
        <f>$C$3</f>
        <v>( Remove previous test result )</v>
      </c>
      <c r="D80" s="103"/>
      <c r="E80" s="244" t="s">
        <v>205</v>
      </c>
      <c r="F80" s="244"/>
      <c r="G80" s="244"/>
      <c r="H80" s="104"/>
      <c r="I80" s="66"/>
    </row>
    <row r="81" spans="1:9" x14ac:dyDescent="0.25">
      <c r="A81" s="52">
        <f>IF(AND(B81&lt;&gt;"",C81&lt;&gt;"",LEFT(B81,1)&lt;&gt;"#"),MAX($A$2:A80)+1,"")</f>
        <v>37</v>
      </c>
      <c r="B81" s="15" t="s">
        <v>316</v>
      </c>
      <c r="C81" s="4" t="s">
        <v>317</v>
      </c>
      <c r="D81" s="153"/>
      <c r="E81" s="55"/>
      <c r="F81" s="23" t="str">
        <f t="shared" ref="F81" ca="1" si="15">IF(E81&lt;&gt;"",NOW(),"")</f>
        <v/>
      </c>
      <c r="G81" s="70"/>
      <c r="H81" s="75"/>
      <c r="I81" s="67"/>
    </row>
    <row r="82" spans="1:9" x14ac:dyDescent="0.25">
      <c r="A82" s="58"/>
      <c r="B82" s="135" t="str">
        <f>$B$3</f>
        <v>( Add new test case )</v>
      </c>
      <c r="C82" s="149" t="str">
        <f>$C$3</f>
        <v>( Remove previous test result )</v>
      </c>
      <c r="D82" s="103"/>
      <c r="E82" s="244" t="s">
        <v>205</v>
      </c>
      <c r="F82" s="244"/>
      <c r="G82" s="244"/>
      <c r="H82" s="104"/>
      <c r="I82" s="66"/>
    </row>
    <row r="83" spans="1:9" x14ac:dyDescent="0.25">
      <c r="A83" s="52">
        <f>IF(AND(B83&lt;&gt;"",C83&lt;&gt;"",LEFT(B83,1)&lt;&gt;"#"),MAX($A$2:A82)+1,"")</f>
        <v>38</v>
      </c>
      <c r="B83" s="15" t="s">
        <v>318</v>
      </c>
      <c r="C83" s="4" t="s">
        <v>319</v>
      </c>
      <c r="D83" s="153"/>
      <c r="E83" s="55"/>
      <c r="F83" s="23"/>
      <c r="G83" s="70"/>
      <c r="H83" s="75"/>
      <c r="I83" s="67"/>
    </row>
    <row r="84" spans="1:9" x14ac:dyDescent="0.25">
      <c r="A84" s="58"/>
      <c r="B84" s="135" t="str">
        <f>$B$3</f>
        <v>( Add new test case )</v>
      </c>
      <c r="C84" s="149" t="str">
        <f>$C$3</f>
        <v>( Remove previous test result )</v>
      </c>
      <c r="D84" s="103"/>
      <c r="E84" s="244" t="s">
        <v>205</v>
      </c>
      <c r="F84" s="244"/>
      <c r="G84" s="244"/>
      <c r="H84" s="104"/>
      <c r="I84" s="66"/>
    </row>
    <row r="85" spans="1:9" x14ac:dyDescent="0.25">
      <c r="A85" s="52">
        <f>IF(AND(B85&lt;&gt;"",C85&lt;&gt;"",LEFT(B85,1)&lt;&gt;"#"),MAX($A$2:A84)+1,"")</f>
        <v>39</v>
      </c>
      <c r="B85" s="20" t="s">
        <v>320</v>
      </c>
      <c r="C85" s="95" t="s">
        <v>321</v>
      </c>
      <c r="D85" s="153"/>
      <c r="E85" s="55"/>
      <c r="F85" s="23"/>
      <c r="G85" s="70"/>
      <c r="H85" s="75"/>
      <c r="I85" s="67"/>
    </row>
    <row r="86" spans="1:9" x14ac:dyDescent="0.25">
      <c r="A86" s="58"/>
      <c r="B86" s="135" t="str">
        <f>$B$3</f>
        <v>( Add new test case )</v>
      </c>
      <c r="C86" s="149" t="str">
        <f>$C$3</f>
        <v>( Remove previous test result )</v>
      </c>
      <c r="D86" s="103"/>
      <c r="E86" s="244" t="s">
        <v>205</v>
      </c>
      <c r="F86" s="244"/>
      <c r="G86" s="244"/>
      <c r="H86" s="104"/>
      <c r="I86" s="66"/>
    </row>
    <row r="87" spans="1:9" x14ac:dyDescent="0.25">
      <c r="A87" s="52">
        <f>IF(AND(B87&lt;&gt;"",C87&lt;&gt;"",LEFT(B87,1)&lt;&gt;"#"),MAX($A$2:A86)+1,"")</f>
        <v>40</v>
      </c>
      <c r="B87" s="21" t="s">
        <v>322</v>
      </c>
      <c r="C87" s="8" t="s">
        <v>323</v>
      </c>
      <c r="D87" s="153"/>
      <c r="E87" s="55"/>
      <c r="F87" s="23" t="str">
        <f t="shared" ref="F87" ca="1" si="16">IF(E87&lt;&gt;"",NOW(),"")</f>
        <v/>
      </c>
      <c r="G87" s="70"/>
      <c r="H87" s="75"/>
      <c r="I87" s="67"/>
    </row>
    <row r="88" spans="1:9" x14ac:dyDescent="0.25">
      <c r="A88" s="58"/>
      <c r="B88" s="135" t="str">
        <f>$B$3</f>
        <v>( Add new test case )</v>
      </c>
      <c r="C88" s="149" t="str">
        <f>$C$3</f>
        <v>( Remove previous test result )</v>
      </c>
      <c r="D88" s="103"/>
      <c r="E88" s="244" t="s">
        <v>205</v>
      </c>
      <c r="F88" s="244"/>
      <c r="G88" s="244"/>
      <c r="H88" s="104"/>
      <c r="I88" s="66"/>
    </row>
    <row r="89" spans="1:9" ht="30" x14ac:dyDescent="0.25">
      <c r="A89" s="52">
        <f>IF(AND(B89&lt;&gt;"",C89&lt;&gt;"",LEFT(B89,1)&lt;&gt;"#"),MAX($A$2:A88)+1,"")</f>
        <v>41</v>
      </c>
      <c r="B89" s="21" t="s">
        <v>324</v>
      </c>
      <c r="C89" s="8" t="s">
        <v>325</v>
      </c>
      <c r="D89" s="153"/>
      <c r="E89" s="55"/>
      <c r="F89" s="23" t="str">
        <f t="shared" ref="F89" ca="1" si="17">IF(E89&lt;&gt;"",NOW(),"")</f>
        <v/>
      </c>
      <c r="G89" s="70"/>
      <c r="H89" s="75"/>
      <c r="I89" s="67"/>
    </row>
    <row r="90" spans="1:9" x14ac:dyDescent="0.25">
      <c r="A90" s="58"/>
      <c r="B90" s="135" t="str">
        <f>$B$3</f>
        <v>( Add new test case )</v>
      </c>
      <c r="C90" s="149" t="str">
        <f>$C$3</f>
        <v>( Remove previous test result )</v>
      </c>
      <c r="D90" s="103"/>
      <c r="E90" s="244" t="s">
        <v>205</v>
      </c>
      <c r="F90" s="244"/>
      <c r="G90" s="244"/>
      <c r="H90" s="104"/>
      <c r="I90" s="66"/>
    </row>
    <row r="91" spans="1:9" ht="30" x14ac:dyDescent="0.25">
      <c r="A91" s="52">
        <f>IF(AND(B91&lt;&gt;"",C91&lt;&gt;"",LEFT(B91,1)&lt;&gt;"#"),MAX($A$2:A90)+1,"")</f>
        <v>42</v>
      </c>
      <c r="B91" s="21" t="s">
        <v>326</v>
      </c>
      <c r="C91" s="96" t="s">
        <v>327</v>
      </c>
      <c r="D91" s="153"/>
      <c r="E91" s="55"/>
      <c r="F91" s="23" t="str">
        <f t="shared" ref="F91" ca="1" si="18">IF(E91&lt;&gt;"",NOW(),"")</f>
        <v/>
      </c>
      <c r="G91" s="70"/>
      <c r="H91" s="75"/>
      <c r="I91" s="67"/>
    </row>
    <row r="92" spans="1:9" x14ac:dyDescent="0.25">
      <c r="A92" s="58"/>
      <c r="B92" s="135" t="str">
        <f>$B$3</f>
        <v>( Add new test case )</v>
      </c>
      <c r="C92" s="149" t="str">
        <f>$C$3</f>
        <v>( Remove previous test result )</v>
      </c>
      <c r="D92" s="103"/>
      <c r="E92" s="244" t="s">
        <v>205</v>
      </c>
      <c r="F92" s="244"/>
      <c r="G92" s="244"/>
      <c r="H92" s="104"/>
      <c r="I92" s="66"/>
    </row>
    <row r="93" spans="1:9" ht="30" x14ac:dyDescent="0.25">
      <c r="A93" s="52">
        <f>IF(AND(B93&lt;&gt;"",C93&lt;&gt;"",LEFT(B93,1)&lt;&gt;"#"),MAX($A$2:A92)+1,"")</f>
        <v>43</v>
      </c>
      <c r="B93" s="21" t="s">
        <v>328</v>
      </c>
      <c r="C93" s="96" t="s">
        <v>327</v>
      </c>
      <c r="D93" s="153"/>
      <c r="E93" s="55"/>
      <c r="F93" s="23" t="str">
        <f t="shared" ref="F93" ca="1" si="19">IF(E93&lt;&gt;"",NOW(),"")</f>
        <v/>
      </c>
      <c r="G93" s="70"/>
      <c r="H93" s="75"/>
      <c r="I93" s="81" t="s">
        <v>232</v>
      </c>
    </row>
    <row r="94" spans="1:9" x14ac:dyDescent="0.25">
      <c r="A94" s="58"/>
      <c r="B94" s="135" t="str">
        <f>$B$3</f>
        <v>( Add new test case )</v>
      </c>
      <c r="C94" s="149" t="str">
        <f>$C$3</f>
        <v>( Remove previous test result )</v>
      </c>
      <c r="D94" s="103"/>
      <c r="E94" s="244" t="s">
        <v>205</v>
      </c>
      <c r="F94" s="244"/>
      <c r="G94" s="244"/>
      <c r="H94" s="104"/>
      <c r="I94" s="66"/>
    </row>
    <row r="95" spans="1:9" x14ac:dyDescent="0.25">
      <c r="A95" s="52">
        <f>IF(AND(B95&lt;&gt;"",C95&lt;&gt;"",LEFT(B95,1)&lt;&gt;"#"),MAX($A$2:A94)+1,"")</f>
        <v>44</v>
      </c>
      <c r="B95" s="21" t="s">
        <v>329</v>
      </c>
      <c r="C95" s="8" t="s">
        <v>330</v>
      </c>
      <c r="D95" s="153"/>
      <c r="E95" s="55"/>
      <c r="F95" s="23"/>
      <c r="G95" s="70"/>
      <c r="H95" s="75"/>
      <c r="I95" s="67"/>
    </row>
    <row r="96" spans="1:9" x14ac:dyDescent="0.25">
      <c r="A96" s="58"/>
      <c r="B96" s="135" t="str">
        <f>$B$3</f>
        <v>( Add new test case )</v>
      </c>
      <c r="C96" s="149" t="str">
        <f>$C$3</f>
        <v>( Remove previous test result )</v>
      </c>
      <c r="D96" s="103"/>
      <c r="E96" s="244" t="s">
        <v>205</v>
      </c>
      <c r="F96" s="244"/>
      <c r="G96" s="244"/>
      <c r="H96" s="104"/>
      <c r="I96" s="66"/>
    </row>
    <row r="97" spans="1:9" x14ac:dyDescent="0.25">
      <c r="A97" s="52">
        <f>IF(AND(B97&lt;&gt;"",C97&lt;&gt;"",LEFT(B97,1)&lt;&gt;"#"),MAX($A$2:A96)+1,"")</f>
        <v>45</v>
      </c>
      <c r="B97" s="21" t="s">
        <v>331</v>
      </c>
      <c r="C97" s="8" t="s">
        <v>332</v>
      </c>
      <c r="D97" s="153"/>
      <c r="E97" s="55"/>
      <c r="F97" s="23"/>
      <c r="G97" s="70"/>
      <c r="H97" s="75"/>
      <c r="I97" s="67"/>
    </row>
    <row r="98" spans="1:9" x14ac:dyDescent="0.25">
      <c r="A98" s="58"/>
      <c r="B98" s="135" t="str">
        <f>$B$3</f>
        <v>( Add new test case )</v>
      </c>
      <c r="C98" s="149" t="str">
        <f>$C$3</f>
        <v>( Remove previous test result )</v>
      </c>
      <c r="D98" s="103"/>
      <c r="E98" s="244" t="s">
        <v>205</v>
      </c>
      <c r="F98" s="244"/>
      <c r="G98" s="244"/>
      <c r="H98" s="104"/>
      <c r="I98" s="66"/>
    </row>
    <row r="99" spans="1:9" x14ac:dyDescent="0.25">
      <c r="A99" s="52">
        <f>IF(AND(B99&lt;&gt;"",C99&lt;&gt;"",LEFT(B99,1)&lt;&gt;"#"),MAX($A$2:A97)+1,"")</f>
        <v>46</v>
      </c>
      <c r="B99" s="93" t="s">
        <v>333</v>
      </c>
      <c r="C99" s="94" t="s">
        <v>330</v>
      </c>
      <c r="D99" s="153"/>
      <c r="E99" s="55"/>
      <c r="F99" s="23"/>
      <c r="G99" s="70"/>
      <c r="H99" s="75"/>
      <c r="I99" s="80" t="s">
        <v>234</v>
      </c>
    </row>
    <row r="100" spans="1:9" x14ac:dyDescent="0.25">
      <c r="A100" s="58"/>
      <c r="B100" s="135" t="str">
        <f>$B$3</f>
        <v>( Add new test case )</v>
      </c>
      <c r="C100" s="149" t="str">
        <f>$C$3</f>
        <v>( Remove previous test result )</v>
      </c>
      <c r="D100" s="103"/>
      <c r="E100" s="244" t="s">
        <v>205</v>
      </c>
      <c r="F100" s="244"/>
      <c r="G100" s="244"/>
      <c r="H100" s="104"/>
      <c r="I100" s="66"/>
    </row>
    <row r="101" spans="1:9" x14ac:dyDescent="0.25">
      <c r="A101" s="52">
        <f>IF(AND(B101&lt;&gt;"",C101&lt;&gt;"",LEFT(B101,1)&lt;&gt;"#"),MAX($A$2:A100)+1,"")</f>
        <v>47</v>
      </c>
      <c r="B101" s="15" t="s">
        <v>334</v>
      </c>
      <c r="C101" s="4" t="s">
        <v>330</v>
      </c>
      <c r="D101" s="153"/>
      <c r="E101" s="55"/>
      <c r="F101" s="23" t="str">
        <f t="shared" ref="F101" ca="1" si="20">IF(E101&lt;&gt;"",NOW(),"")</f>
        <v/>
      </c>
      <c r="G101" s="70"/>
      <c r="H101" s="75"/>
      <c r="I101" s="67"/>
    </row>
    <row r="102" spans="1:9" x14ac:dyDescent="0.25">
      <c r="A102" s="58"/>
      <c r="B102" s="135" t="str">
        <f>$B$3</f>
        <v>( Add new test case )</v>
      </c>
      <c r="C102" s="149" t="str">
        <f>$C$3</f>
        <v>( Remove previous test result )</v>
      </c>
      <c r="D102" s="103"/>
      <c r="E102" s="244" t="s">
        <v>205</v>
      </c>
      <c r="F102" s="244"/>
      <c r="G102" s="244"/>
      <c r="H102" s="104"/>
      <c r="I102" s="66"/>
    </row>
    <row r="103" spans="1:9" x14ac:dyDescent="0.25">
      <c r="A103" s="52">
        <f>IF(AND(B103&lt;&gt;"",C103&lt;&gt;"",LEFT(B103,1)&lt;&gt;"#"),MAX($A$2:A102)+1,"")</f>
        <v>48</v>
      </c>
      <c r="B103" s="15" t="s">
        <v>335</v>
      </c>
      <c r="C103" s="4" t="s">
        <v>330</v>
      </c>
      <c r="D103" s="153"/>
      <c r="E103" s="55"/>
      <c r="F103" s="23" t="str">
        <f t="shared" ref="F103" ca="1" si="21">IF(E103&lt;&gt;"",NOW(),"")</f>
        <v/>
      </c>
      <c r="G103" s="70"/>
      <c r="H103" s="75"/>
      <c r="I103" s="67"/>
    </row>
    <row r="104" spans="1:9" x14ac:dyDescent="0.25">
      <c r="A104" s="58"/>
      <c r="B104" s="135" t="str">
        <f>$B$3</f>
        <v>( Add new test case )</v>
      </c>
      <c r="C104" s="149" t="str">
        <f>$C$3</f>
        <v>( Remove previous test result )</v>
      </c>
      <c r="D104" s="103"/>
      <c r="E104" s="244" t="s">
        <v>205</v>
      </c>
      <c r="F104" s="244"/>
      <c r="G104" s="244"/>
      <c r="H104" s="104"/>
      <c r="I104" s="66"/>
    </row>
    <row r="105" spans="1:9" x14ac:dyDescent="0.25">
      <c r="A105" s="52">
        <f>IF(AND(B105&lt;&gt;"",C105&lt;&gt;"",LEFT(B105,1)&lt;&gt;"#"),MAX($A$2:A104)+1,"")</f>
        <v>49</v>
      </c>
      <c r="B105" s="15" t="s">
        <v>336</v>
      </c>
      <c r="C105" s="4" t="s">
        <v>330</v>
      </c>
      <c r="D105" s="153"/>
      <c r="E105" s="55"/>
      <c r="F105" s="23" t="str">
        <f t="shared" ref="F105" ca="1" si="22">IF(E105&lt;&gt;"",NOW(),"")</f>
        <v/>
      </c>
      <c r="G105" s="70"/>
      <c r="H105" s="75"/>
      <c r="I105" s="67"/>
    </row>
    <row r="106" spans="1:9" x14ac:dyDescent="0.25">
      <c r="A106" s="58"/>
      <c r="B106" s="135" t="str">
        <f>$B$3</f>
        <v>( Add new test case )</v>
      </c>
      <c r="C106" s="149" t="str">
        <f>$C$3</f>
        <v>( Remove previous test result )</v>
      </c>
      <c r="D106" s="103"/>
      <c r="E106" s="244" t="s">
        <v>205</v>
      </c>
      <c r="F106" s="244"/>
      <c r="G106" s="244"/>
      <c r="H106" s="104"/>
      <c r="I106" s="66"/>
    </row>
    <row r="107" spans="1:9" x14ac:dyDescent="0.25">
      <c r="A107" s="52">
        <f>IF(AND(B107&lt;&gt;"",C107&lt;&gt;"",LEFT(B107,1)&lt;&gt;"#"),MAX($A$2:A106)+1,"")</f>
        <v>50</v>
      </c>
      <c r="B107" s="15" t="s">
        <v>337</v>
      </c>
      <c r="C107" s="4" t="s">
        <v>330</v>
      </c>
      <c r="D107" s="153"/>
      <c r="E107" s="55"/>
      <c r="F107" s="23" t="str">
        <f t="shared" ref="F107" ca="1" si="23">IF(E107&lt;&gt;"",NOW(),"")</f>
        <v/>
      </c>
      <c r="G107" s="70"/>
      <c r="H107" s="75"/>
      <c r="I107" s="67"/>
    </row>
    <row r="108" spans="1:9" x14ac:dyDescent="0.25">
      <c r="A108" s="58"/>
      <c r="B108" s="135" t="str">
        <f>$B$3</f>
        <v>( Add new test case )</v>
      </c>
      <c r="C108" s="149" t="str">
        <f>$C$3</f>
        <v>( Remove previous test result )</v>
      </c>
      <c r="D108" s="103"/>
      <c r="E108" s="244" t="s">
        <v>205</v>
      </c>
      <c r="F108" s="244"/>
      <c r="G108" s="244"/>
      <c r="H108" s="104"/>
      <c r="I108" s="66"/>
    </row>
    <row r="109" spans="1:9" x14ac:dyDescent="0.25">
      <c r="A109" s="52">
        <f>IF(AND(B109&lt;&gt;"",C109&lt;&gt;"",LEFT(B109,1)&lt;&gt;"#"),MAX($A$2:A108)+1,"")</f>
        <v>51</v>
      </c>
      <c r="B109" s="15" t="s">
        <v>338</v>
      </c>
      <c r="C109" s="4" t="s">
        <v>339</v>
      </c>
      <c r="D109" s="153"/>
      <c r="E109" s="55"/>
      <c r="F109" s="23"/>
      <c r="G109" s="70"/>
      <c r="H109" s="75"/>
      <c r="I109" s="67"/>
    </row>
    <row r="110" spans="1:9" x14ac:dyDescent="0.25">
      <c r="A110" s="58"/>
      <c r="B110" s="135" t="str">
        <f>$B$3</f>
        <v>( Add new test case )</v>
      </c>
      <c r="C110" s="149" t="str">
        <f>$C$3</f>
        <v>( Remove previous test result )</v>
      </c>
      <c r="D110" s="103"/>
      <c r="E110" s="244" t="s">
        <v>205</v>
      </c>
      <c r="F110" s="244"/>
      <c r="G110" s="244"/>
      <c r="H110" s="104"/>
      <c r="I110" s="66"/>
    </row>
    <row r="111" spans="1:9" x14ac:dyDescent="0.25">
      <c r="A111" s="52">
        <f>IF(AND(B111&lt;&gt;"",C111&lt;&gt;"",LEFT(B111,1)&lt;&gt;"#"),MAX($A$2:A110)+1,"")</f>
        <v>52</v>
      </c>
      <c r="B111" s="15" t="s">
        <v>340</v>
      </c>
      <c r="C111" s="4" t="s">
        <v>332</v>
      </c>
      <c r="D111" s="153"/>
      <c r="E111" s="55"/>
      <c r="F111" s="23"/>
      <c r="G111" s="70"/>
      <c r="H111" s="75"/>
      <c r="I111" s="67"/>
    </row>
    <row r="112" spans="1:9" x14ac:dyDescent="0.25">
      <c r="A112" s="58"/>
      <c r="B112" s="135" t="str">
        <f>$B$3</f>
        <v>( Add new test case )</v>
      </c>
      <c r="C112" s="149" t="str">
        <f>$C$3</f>
        <v>( Remove previous test result )</v>
      </c>
      <c r="D112" s="103"/>
      <c r="E112" s="244" t="s">
        <v>205</v>
      </c>
      <c r="F112" s="244"/>
      <c r="G112" s="244"/>
      <c r="H112" s="104"/>
      <c r="I112" s="66"/>
    </row>
    <row r="113" spans="1:9" ht="75" x14ac:dyDescent="0.25">
      <c r="A113" s="52">
        <f>IF(AND(B113&lt;&gt;"",C113&lt;&gt;"",LEFT(B113,1)&lt;&gt;"#"),MAX($A$2:A112)+1,"")</f>
        <v>53</v>
      </c>
      <c r="B113" s="15" t="s">
        <v>341</v>
      </c>
      <c r="C113" s="11" t="s">
        <v>13</v>
      </c>
      <c r="D113" s="153"/>
      <c r="E113" s="55"/>
      <c r="F113" s="23" t="str">
        <f t="shared" ref="F113" ca="1" si="24">IF(E113&lt;&gt;"",NOW(),"")</f>
        <v/>
      </c>
      <c r="G113" s="70"/>
      <c r="H113" s="75"/>
      <c r="I113" s="67"/>
    </row>
    <row r="114" spans="1:9" x14ac:dyDescent="0.25">
      <c r="A114" s="58"/>
      <c r="B114" s="135" t="str">
        <f>$B$3</f>
        <v>( Add new test case )</v>
      </c>
      <c r="C114" s="149" t="str">
        <f>$C$3</f>
        <v>( Remove previous test result )</v>
      </c>
      <c r="D114" s="103"/>
      <c r="E114" s="244" t="s">
        <v>205</v>
      </c>
      <c r="F114" s="244"/>
      <c r="G114" s="244"/>
      <c r="H114" s="104"/>
      <c r="I114" s="66"/>
    </row>
    <row r="115" spans="1:9" x14ac:dyDescent="0.25">
      <c r="A115" s="52">
        <f>IF(AND(B115&lt;&gt;"",C115&lt;&gt;"",LEFT(B115,1)&lt;&gt;"#"),MAX($A$2:A114)+1,"")</f>
        <v>54</v>
      </c>
      <c r="B115" s="15" t="s">
        <v>342</v>
      </c>
      <c r="C115" s="4" t="s">
        <v>343</v>
      </c>
      <c r="D115" s="153"/>
      <c r="E115" s="55"/>
      <c r="F115" s="23" t="str">
        <f t="shared" ref="F115" ca="1" si="25">IF(E115&lt;&gt;"",NOW(),"")</f>
        <v/>
      </c>
      <c r="G115" s="70"/>
      <c r="H115" s="75"/>
      <c r="I115" s="67"/>
    </row>
    <row r="116" spans="1:9" x14ac:dyDescent="0.25">
      <c r="A116" s="121"/>
      <c r="B116" s="135" t="str">
        <f>$B$3</f>
        <v>( Add new test case )</v>
      </c>
      <c r="C116" s="149" t="str">
        <f>$C$3</f>
        <v>( Remove previous test result )</v>
      </c>
      <c r="D116" s="103"/>
      <c r="E116" s="244" t="s">
        <v>205</v>
      </c>
      <c r="F116" s="244"/>
      <c r="G116" s="244"/>
      <c r="H116" s="104"/>
      <c r="I116" s="83"/>
    </row>
    <row r="117" spans="1:9" ht="15.75" x14ac:dyDescent="0.25">
      <c r="A117" s="124" t="str">
        <f>IF(AND(B117&lt;&gt;"",C117&lt;&gt;"",LEFT(B117,1)&lt;&gt;"#"),MAX(#REF!)+1,"")</f>
        <v/>
      </c>
      <c r="B117" s="150" t="s">
        <v>344</v>
      </c>
      <c r="C117" s="125"/>
      <c r="D117" s="126"/>
      <c r="E117" s="127"/>
      <c r="F117" s="128"/>
      <c r="G117" s="128"/>
      <c r="H117" s="129"/>
      <c r="I117" s="130"/>
    </row>
    <row r="118" spans="1:9" ht="60" x14ac:dyDescent="0.25">
      <c r="A118" s="52">
        <f>IF(AND(B118&lt;&gt;"",C118&lt;&gt;"",LEFT(B118,1)&lt;&gt;"#"),MAX($A$2:A116)+1,"")</f>
        <v>55</v>
      </c>
      <c r="B118" s="14" t="s">
        <v>345</v>
      </c>
      <c r="C118" s="10" t="s">
        <v>346</v>
      </c>
      <c r="D118" s="51"/>
      <c r="E118" s="56"/>
      <c r="F118" s="26" t="str">
        <f t="shared" ref="F118" ca="1" si="26">IF(E118&lt;&gt;"",NOW(),"")</f>
        <v/>
      </c>
      <c r="G118" s="69"/>
      <c r="H118" s="74"/>
      <c r="I118" s="65"/>
    </row>
    <row r="119" spans="1:9" x14ac:dyDescent="0.25">
      <c r="A119" s="58"/>
      <c r="B119" s="135" t="str">
        <f>$B$3</f>
        <v>( Add new test case )</v>
      </c>
      <c r="C119" s="149" t="str">
        <f>$C$3</f>
        <v>( Remove previous test result )</v>
      </c>
      <c r="D119" s="103"/>
      <c r="E119" s="244" t="s">
        <v>205</v>
      </c>
      <c r="F119" s="244"/>
      <c r="G119" s="244"/>
      <c r="H119" s="104"/>
      <c r="I119" s="66"/>
    </row>
    <row r="120" spans="1:9" x14ac:dyDescent="0.25">
      <c r="A120" s="52">
        <f>IF(AND(B120&lt;&gt;"",C120&lt;&gt;"",LEFT(B120,1)&lt;&gt;"#"),MAX($A$2:A119)+1,"")</f>
        <v>56</v>
      </c>
      <c r="B120" s="15" t="s">
        <v>347</v>
      </c>
      <c r="C120" s="4" t="s">
        <v>348</v>
      </c>
      <c r="D120" s="153"/>
      <c r="E120" s="55"/>
      <c r="F120" s="23" t="str">
        <f t="shared" ref="F120" ca="1" si="27">IF(E120&lt;&gt;"",NOW(),"")</f>
        <v/>
      </c>
      <c r="G120" s="70"/>
      <c r="H120" s="75"/>
      <c r="I120" s="67"/>
    </row>
    <row r="121" spans="1:9" x14ac:dyDescent="0.25">
      <c r="A121" s="58"/>
      <c r="B121" s="135" t="str">
        <f>$B$3</f>
        <v>( Add new test case )</v>
      </c>
      <c r="C121" s="149" t="str">
        <f>$C$3</f>
        <v>( Remove previous test result )</v>
      </c>
      <c r="D121" s="103"/>
      <c r="E121" s="244" t="s">
        <v>205</v>
      </c>
      <c r="F121" s="244"/>
      <c r="G121" s="244"/>
      <c r="H121" s="104"/>
      <c r="I121" s="66"/>
    </row>
    <row r="122" spans="1:9" ht="30" x14ac:dyDescent="0.25">
      <c r="A122" s="52">
        <f>IF(AND(B122&lt;&gt;"",C122&lt;&gt;"",LEFT(B122,1)&lt;&gt;"#"),MAX($A$2:A121)+1,"")</f>
        <v>57</v>
      </c>
      <c r="B122" s="15" t="s">
        <v>349</v>
      </c>
      <c r="C122" s="4" t="s">
        <v>350</v>
      </c>
      <c r="D122" s="153"/>
      <c r="E122" s="55"/>
      <c r="F122" s="23"/>
      <c r="G122" s="70"/>
      <c r="H122" s="75"/>
      <c r="I122" s="67"/>
    </row>
    <row r="123" spans="1:9" x14ac:dyDescent="0.25">
      <c r="A123" s="121"/>
      <c r="B123" s="135" t="str">
        <f>$B$3</f>
        <v>( Add new test case )</v>
      </c>
      <c r="C123" s="149" t="str">
        <f>$C$3</f>
        <v>( Remove previous test result )</v>
      </c>
      <c r="D123" s="103"/>
      <c r="E123" s="244" t="s">
        <v>205</v>
      </c>
      <c r="F123" s="244"/>
      <c r="G123" s="244"/>
      <c r="H123" s="104"/>
      <c r="I123" s="83"/>
    </row>
    <row r="124" spans="1:9" ht="15.75" x14ac:dyDescent="0.25">
      <c r="A124" s="124" t="str">
        <f>IF(AND(B124&lt;&gt;"",C124&lt;&gt;"",LEFT(B124,1)&lt;&gt;"#"),MAX(#REF!)+1,"")</f>
        <v/>
      </c>
      <c r="B124" s="150" t="s">
        <v>344</v>
      </c>
      <c r="C124" s="125"/>
      <c r="D124" s="126"/>
      <c r="E124" s="127"/>
      <c r="F124" s="128"/>
      <c r="G124" s="128"/>
      <c r="H124" s="129"/>
      <c r="I124" s="130"/>
    </row>
    <row r="125" spans="1:9" ht="30" x14ac:dyDescent="0.25">
      <c r="A125" s="52">
        <f>IF(AND(B125&lt;&gt;"",C125&lt;&gt;"",LEFT(B125,1)&lt;&gt;"#"),MAX($A$2:A123)+1,"")</f>
        <v>58</v>
      </c>
      <c r="B125" s="14" t="s">
        <v>351</v>
      </c>
      <c r="C125" s="10" t="s">
        <v>352</v>
      </c>
      <c r="D125" s="51"/>
      <c r="E125" s="56"/>
      <c r="F125" s="26"/>
      <c r="G125" s="69"/>
      <c r="H125" s="74"/>
      <c r="I125" s="65"/>
    </row>
    <row r="126" spans="1:9" x14ac:dyDescent="0.25">
      <c r="A126" s="58"/>
      <c r="B126" s="135" t="str">
        <f>$B$3</f>
        <v>( Add new test case )</v>
      </c>
      <c r="C126" s="149" t="str">
        <f>$C$3</f>
        <v>( Remove previous test result )</v>
      </c>
      <c r="D126" s="103"/>
      <c r="E126" s="244" t="s">
        <v>205</v>
      </c>
      <c r="F126" s="244"/>
      <c r="G126" s="244"/>
      <c r="H126" s="104"/>
      <c r="I126" s="66"/>
    </row>
    <row r="127" spans="1:9" x14ac:dyDescent="0.25">
      <c r="A127" s="52">
        <f>IF(AND(B127&lt;&gt;"",C127&lt;&gt;"",LEFT(B127,1)&lt;&gt;"#"),MAX($A$2:A125)+1,"")</f>
        <v>59</v>
      </c>
      <c r="B127" s="14" t="s">
        <v>353</v>
      </c>
      <c r="C127" s="22" t="s">
        <v>354</v>
      </c>
      <c r="D127" s="153"/>
      <c r="E127" s="55"/>
      <c r="F127" s="23"/>
      <c r="G127" s="70"/>
      <c r="H127" s="75"/>
      <c r="I127" s="67"/>
    </row>
    <row r="128" spans="1:9" x14ac:dyDescent="0.25">
      <c r="A128" s="121"/>
      <c r="B128" s="135" t="str">
        <f>$B$3</f>
        <v>( Add new test case )</v>
      </c>
      <c r="C128" s="149" t="str">
        <f>$C$3</f>
        <v>( Remove previous test result )</v>
      </c>
      <c r="D128" s="103"/>
      <c r="E128" s="244" t="s">
        <v>205</v>
      </c>
      <c r="F128" s="244"/>
      <c r="G128" s="244"/>
      <c r="H128" s="104"/>
      <c r="I128" s="83"/>
    </row>
    <row r="129" spans="1:9" ht="15.75" x14ac:dyDescent="0.25">
      <c r="A129" s="124" t="str">
        <f>IF(AND(B129&lt;&gt;"",C129&lt;&gt;"",LEFT(B129,1)&lt;&gt;"#"),MAX(#REF!)+1,"")</f>
        <v/>
      </c>
      <c r="B129" s="150" t="s">
        <v>68</v>
      </c>
      <c r="C129" s="125"/>
      <c r="D129" s="126"/>
      <c r="E129" s="127"/>
      <c r="F129" s="128"/>
      <c r="G129" s="128"/>
      <c r="H129" s="129"/>
      <c r="I129" s="130"/>
    </row>
    <row r="130" spans="1:9" ht="30" x14ac:dyDescent="0.25">
      <c r="A130" s="52">
        <f>IF(AND(B130&lt;&gt;"",C130&lt;&gt;"",LEFT(B130,1)&lt;&gt;"#"),MAX($A$2:A128)+1,"")</f>
        <v>60</v>
      </c>
      <c r="B130" s="14" t="s">
        <v>52</v>
      </c>
      <c r="C130" s="10" t="s">
        <v>25</v>
      </c>
      <c r="D130" s="51"/>
      <c r="E130" s="56"/>
      <c r="F130" s="26" t="str">
        <f t="shared" ref="F130" ca="1" si="28">IF(E130&lt;&gt;"",NOW(),"")</f>
        <v/>
      </c>
      <c r="G130" s="69"/>
      <c r="H130" s="74"/>
      <c r="I130" s="65"/>
    </row>
    <row r="131" spans="1:9" x14ac:dyDescent="0.25">
      <c r="A131" s="58"/>
      <c r="B131" s="135" t="str">
        <f>$B$3</f>
        <v>( Add new test case )</v>
      </c>
      <c r="C131" s="149" t="str">
        <f>$C$3</f>
        <v>( Remove previous test result )</v>
      </c>
      <c r="D131" s="103"/>
      <c r="E131" s="244" t="s">
        <v>205</v>
      </c>
      <c r="F131" s="244"/>
      <c r="G131" s="244"/>
      <c r="H131" s="104"/>
      <c r="I131" s="66"/>
    </row>
    <row r="132" spans="1:9" ht="30" x14ac:dyDescent="0.25">
      <c r="A132" s="52">
        <f>IF(AND(B132&lt;&gt;"",C132&lt;&gt;"",LEFT(B132,1)&lt;&gt;"#"),MAX($A$2:A131)+1,"")</f>
        <v>61</v>
      </c>
      <c r="B132" s="15" t="s">
        <v>53</v>
      </c>
      <c r="C132" s="4" t="s">
        <v>20</v>
      </c>
      <c r="D132" s="153"/>
      <c r="E132" s="55"/>
      <c r="F132" s="23" t="str">
        <f t="shared" ref="F132" ca="1" si="29">IF(E132&lt;&gt;"",NOW(),"")</f>
        <v/>
      </c>
      <c r="G132" s="70"/>
      <c r="H132" s="75"/>
      <c r="I132" s="67"/>
    </row>
    <row r="133" spans="1:9" x14ac:dyDescent="0.25">
      <c r="A133" s="58"/>
      <c r="B133" s="135" t="str">
        <f>$B$3</f>
        <v>( Add new test case )</v>
      </c>
      <c r="C133" s="149" t="str">
        <f>$C$3</f>
        <v>( Remove previous test result )</v>
      </c>
      <c r="D133" s="103"/>
      <c r="E133" s="244" t="s">
        <v>205</v>
      </c>
      <c r="F133" s="244"/>
      <c r="G133" s="244"/>
      <c r="H133" s="104"/>
      <c r="I133" s="66"/>
    </row>
    <row r="134" spans="1:9" ht="45" x14ac:dyDescent="0.25">
      <c r="A134" s="52">
        <f>IF(AND(B134&lt;&gt;"",C134&lt;&gt;"",LEFT(B134,1)&lt;&gt;"#"),MAX($A$2:A133)+1,"")</f>
        <v>62</v>
      </c>
      <c r="B134" s="15" t="s">
        <v>54</v>
      </c>
      <c r="C134" s="4" t="s">
        <v>21</v>
      </c>
      <c r="D134" s="153"/>
      <c r="E134" s="55"/>
      <c r="F134" s="23" t="str">
        <f t="shared" ref="F134" ca="1" si="30">IF(E134&lt;&gt;"",NOW(),"")</f>
        <v/>
      </c>
      <c r="G134" s="70"/>
      <c r="H134" s="75"/>
      <c r="I134" s="81" t="s">
        <v>235</v>
      </c>
    </row>
    <row r="135" spans="1:9" x14ac:dyDescent="0.25">
      <c r="A135" s="58"/>
      <c r="B135" s="135" t="str">
        <f>$B$3</f>
        <v>( Add new test case )</v>
      </c>
      <c r="C135" s="149" t="str">
        <f>$C$3</f>
        <v>( Remove previous test result )</v>
      </c>
      <c r="D135" s="103"/>
      <c r="E135" s="244" t="s">
        <v>205</v>
      </c>
      <c r="F135" s="244"/>
      <c r="G135" s="244"/>
      <c r="H135" s="104"/>
      <c r="I135" s="66"/>
    </row>
    <row r="136" spans="1:9" ht="60" x14ac:dyDescent="0.25">
      <c r="A136" s="52">
        <f>IF(AND(B136&lt;&gt;"",C136&lt;&gt;"",LEFT(B136,1)&lt;&gt;"#"),MAX($A$2:A135)+1,"")</f>
        <v>63</v>
      </c>
      <c r="B136" s="15" t="s">
        <v>55</v>
      </c>
      <c r="C136" s="4" t="s">
        <v>63</v>
      </c>
      <c r="D136" s="153"/>
      <c r="E136" s="55"/>
      <c r="F136" s="23" t="str">
        <f t="shared" ref="F136" ca="1" si="31">IF(E136&lt;&gt;"",NOW(),"")</f>
        <v/>
      </c>
      <c r="G136" s="70"/>
      <c r="H136" s="75"/>
      <c r="I136" s="67"/>
    </row>
    <row r="137" spans="1:9" x14ac:dyDescent="0.25">
      <c r="A137" s="58"/>
      <c r="B137" s="135" t="str">
        <f>$B$3</f>
        <v>( Add new test case )</v>
      </c>
      <c r="C137" s="149" t="str">
        <f>$C$3</f>
        <v>( Remove previous test result )</v>
      </c>
      <c r="D137" s="103"/>
      <c r="E137" s="244" t="s">
        <v>205</v>
      </c>
      <c r="F137" s="244"/>
      <c r="G137" s="244"/>
      <c r="H137" s="104"/>
      <c r="I137" s="66"/>
    </row>
    <row r="138" spans="1:9" x14ac:dyDescent="0.25">
      <c r="A138" s="52">
        <f>IF(AND(B138&lt;&gt;"",C138&lt;&gt;"",LEFT(B138,1)&lt;&gt;"#"),MAX($A$2:A137)+1,"")</f>
        <v>64</v>
      </c>
      <c r="B138" s="14" t="s">
        <v>355</v>
      </c>
      <c r="C138" s="22" t="s">
        <v>321</v>
      </c>
      <c r="D138" s="153"/>
      <c r="E138" s="55"/>
      <c r="F138" s="23"/>
      <c r="G138" s="70"/>
      <c r="H138" s="75"/>
      <c r="I138" s="80" t="s">
        <v>356</v>
      </c>
    </row>
    <row r="139" spans="1:9" x14ac:dyDescent="0.25">
      <c r="A139" s="121"/>
      <c r="B139" s="135" t="str">
        <f>$B$3</f>
        <v>( Add new test case )</v>
      </c>
      <c r="C139" s="149" t="str">
        <f>$C$3</f>
        <v>( Remove previous test result )</v>
      </c>
      <c r="D139" s="103"/>
      <c r="E139" s="244" t="s">
        <v>205</v>
      </c>
      <c r="F139" s="244"/>
      <c r="G139" s="244"/>
      <c r="H139" s="104"/>
      <c r="I139" s="83"/>
    </row>
    <row r="140" spans="1:9" ht="15.75" x14ac:dyDescent="0.25">
      <c r="A140" s="124" t="str">
        <f>IF(AND(B140&lt;&gt;"",C140&lt;&gt;"",LEFT(B140,1)&lt;&gt;"#"),MAX($A$2:A27)+1,"")</f>
        <v/>
      </c>
      <c r="B140" s="151" t="s">
        <v>472</v>
      </c>
      <c r="C140" s="125"/>
      <c r="D140" s="126"/>
      <c r="E140" s="127"/>
      <c r="F140" s="128"/>
      <c r="G140" s="128"/>
      <c r="H140" s="129"/>
      <c r="I140" s="130"/>
    </row>
    <row r="141" spans="1:9" ht="30" x14ac:dyDescent="0.25">
      <c r="A141" s="53" t="str">
        <f>IF(AND(B141&lt;&gt;"",C141&lt;&gt;"",LEFT(B141,1)&lt;&gt;"#"),MAX($A$2:A140)+1,"")</f>
        <v/>
      </c>
      <c r="B141" s="14" t="s">
        <v>65</v>
      </c>
      <c r="C141" s="14" t="s">
        <v>32</v>
      </c>
      <c r="D141" s="51"/>
      <c r="E141" s="56"/>
      <c r="F141" s="26" t="str">
        <f t="shared" ref="F141" ca="1" si="32">IF(E141&lt;&gt;"",NOW(),"")</f>
        <v/>
      </c>
      <c r="G141" s="69"/>
      <c r="H141" s="74"/>
      <c r="I141" s="68"/>
    </row>
    <row r="142" spans="1:9" x14ac:dyDescent="0.25">
      <c r="A142" s="121"/>
      <c r="B142" s="135" t="str">
        <f>$B$3</f>
        <v>( Add new test case )</v>
      </c>
      <c r="C142" s="149" t="str">
        <f>$C$3</f>
        <v>( Remove previous test result )</v>
      </c>
      <c r="D142" s="103"/>
      <c r="E142" s="244" t="s">
        <v>205</v>
      </c>
      <c r="F142" s="244"/>
      <c r="G142" s="244"/>
      <c r="H142" s="104"/>
      <c r="I142" s="83"/>
    </row>
    <row r="143" spans="1:9" ht="15.75" x14ac:dyDescent="0.25">
      <c r="A143" s="124" t="str">
        <f>IF(AND(B143&lt;&gt;"",C143&lt;&gt;"",LEFT(B143,1)&lt;&gt;"#"),MAX($A$2:A142)+1,"")</f>
        <v/>
      </c>
      <c r="B143" s="150" t="s">
        <v>69</v>
      </c>
      <c r="C143" s="125"/>
      <c r="D143" s="126"/>
      <c r="E143" s="127"/>
      <c r="F143" s="128"/>
      <c r="G143" s="128"/>
      <c r="H143" s="129"/>
      <c r="I143" s="130"/>
    </row>
    <row r="144" spans="1:9" ht="30" x14ac:dyDescent="0.25">
      <c r="A144" s="53" t="str">
        <f>IF(AND(B144&lt;&gt;"",C144&lt;&gt;"",LEFT(B144,1)&lt;&gt;"#"),MAX($A$2:A143)+1,"")</f>
        <v/>
      </c>
      <c r="B144" s="14" t="s">
        <v>65</v>
      </c>
      <c r="C144" s="14" t="s">
        <v>32</v>
      </c>
      <c r="D144" s="51"/>
      <c r="E144" s="56"/>
      <c r="F144" s="26"/>
      <c r="G144" s="69"/>
      <c r="H144" s="74"/>
      <c r="I144" s="68"/>
    </row>
    <row r="145" spans="1:9" x14ac:dyDescent="0.25">
      <c r="A145" s="58"/>
      <c r="B145" s="135" t="str">
        <f>$B$3</f>
        <v>( Add new test case )</v>
      </c>
      <c r="C145" s="149" t="str">
        <f>$C$3</f>
        <v>( Remove previous test result )</v>
      </c>
      <c r="D145" s="103"/>
      <c r="E145" s="244" t="s">
        <v>205</v>
      </c>
      <c r="F145" s="244"/>
      <c r="G145" s="244"/>
      <c r="H145" s="104"/>
      <c r="I145" s="66"/>
    </row>
  </sheetData>
  <sheetProtection algorithmName="SHA-512" hashValue="BvFcSdX1qMVjHa4HTBYL/iSqiSpMz3wFDoaCe54dIKKmfGAJ2oFGCKOJtWhszsKL6aXx3ghs1upupJrQ9Mtx1A==" saltValue="q/swXpF2wQ12JMpthcCLGQ==" spinCount="100000" sheet="1" objects="1" scenarios="1" selectLockedCells="1" sort="0" autoFilter="0"/>
  <protectedRanges>
    <protectedRange password="DDDF" sqref="A1:XFD1 A3:XFD1048576 B2:XFD2" name="cat"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0" priority="18" stopIfTrue="1">
      <formula>LEFT($D5,1)="W"</formula>
    </cfRule>
  </conditionalFormatting>
  <conditionalFormatting sqref="D144 D141">
    <cfRule type="expression" dxfId="29" priority="17" stopIfTrue="1">
      <formula>LEFT($D141,1)="W"</formula>
    </cfRule>
  </conditionalFormatting>
  <conditionalFormatting sqref="D28 D26 D24 D22 D20 D17 D15 D13 D11 D9">
    <cfRule type="expression" dxfId="28" priority="15" stopIfTrue="1">
      <formula>LEFT($D9,1)="W"</formula>
    </cfRule>
  </conditionalFormatting>
  <conditionalFormatting sqref="D7">
    <cfRule type="expression" dxfId="27" priority="16" stopIfTrue="1">
      <formula>LEFT($D7,1)="W"</formula>
    </cfRule>
  </conditionalFormatting>
  <conditionalFormatting sqref="D39 D37 D35 D32 D30">
    <cfRule type="expression" dxfId="26" priority="14" stopIfTrue="1">
      <formula>LEFT($D30,1)="W"</formula>
    </cfRule>
  </conditionalFormatting>
  <conditionalFormatting sqref="D51 D49 D47 D45 D43 D41">
    <cfRule type="expression" dxfId="25" priority="13" stopIfTrue="1">
      <formula>LEFT($D41,1)="W"</formula>
    </cfRule>
  </conditionalFormatting>
  <conditionalFormatting sqref="D64 D62 D60 D57 D55 D53">
    <cfRule type="expression" dxfId="24" priority="12" stopIfTrue="1">
      <formula>LEFT($D53,1)="W"</formula>
    </cfRule>
  </conditionalFormatting>
  <conditionalFormatting sqref="D66">
    <cfRule type="expression" dxfId="23" priority="11" stopIfTrue="1">
      <formula>LEFT($D66,1)="W"</formula>
    </cfRule>
  </conditionalFormatting>
  <conditionalFormatting sqref="D83 D81 D79 D77 D75 D73 D70">
    <cfRule type="expression" dxfId="22" priority="9" stopIfTrue="1">
      <formula>LEFT($D70,1)="W"</formula>
    </cfRule>
  </conditionalFormatting>
  <conditionalFormatting sqref="D68">
    <cfRule type="expression" dxfId="21" priority="10" stopIfTrue="1">
      <formula>LEFT($D68,1)="W"</formula>
    </cfRule>
  </conditionalFormatting>
  <conditionalFormatting sqref="D95 D93 D91 D89 D87 D85">
    <cfRule type="expression" dxfId="20" priority="8" stopIfTrue="1">
      <formula>LEFT($D85,1)="W"</formula>
    </cfRule>
  </conditionalFormatting>
  <conditionalFormatting sqref="D97">
    <cfRule type="expression" dxfId="19" priority="7" stopIfTrue="1">
      <formula>LEFT($D97,1)="W"</formula>
    </cfRule>
  </conditionalFormatting>
  <conditionalFormatting sqref="D109 D107 D105 D103 D101 D99">
    <cfRule type="expression" dxfId="18" priority="6" stopIfTrue="1">
      <formula>LEFT($D99,1)="W"</formula>
    </cfRule>
  </conditionalFormatting>
  <conditionalFormatting sqref="D122 D120 D118 D115 D113 D111">
    <cfRule type="expression" dxfId="17" priority="5" stopIfTrue="1">
      <formula>LEFT($D111,1)="W"</formula>
    </cfRule>
  </conditionalFormatting>
  <conditionalFormatting sqref="D125">
    <cfRule type="expression" dxfId="16" priority="4" stopIfTrue="1">
      <formula>LEFT($D125,1)="W"</formula>
    </cfRule>
  </conditionalFormatting>
  <conditionalFormatting sqref="D138 D136 D134 D132 D130 D127">
    <cfRule type="expression" dxfId="15" priority="3" stopIfTrue="1">
      <formula>LEFT($D127,1)="W"</formula>
    </cfRule>
  </conditionalFormatting>
  <dataValidations count="3">
    <dataValidation type="list" allowBlank="1" showInputMessage="1" showErrorMessage="1" sqref="H9 H11 H13 H15 H17 H5 H7 H30 H41 H53 H70 H73 H66 H68 H85 H97 H99 H111 H125 H127">
      <formula1>ValidPhaseQualifiers</formula1>
    </dataValidation>
    <dataValidation type="list" allowBlank="1" showInputMessage="1" showErrorMessage="1" sqref="G141:H141 G144:H144 G22:H22 G26:H26 G24:H24 G9 G11 G13 G15 G20:H20 G17 G28:H28 G5 G7 G37:H37 G35:H35 G32:H32 G30 G39:H39 G45:H45 G49:H49 G47:H47 G43:H43 G41 G51:H51 G57:H57 G62:H62 G60:H60 G55:H55 G53 G64:H64 G77:H77 G81:H81 G79:H79 G70 G75:H75 G73 G83:H83 G66 G68 G89:H89 G93:H93 G91:H91 G87:H87 G85 G95:H95 G97 G103:H103 G107:H107 G105:H105 G101:H101 G99 G109:H109 G115:H115 G120:H120 G118:H118 G113:H113 G111 G122:H122 G125 G132:H132 G136:H136 G134:H134 G130:H130 G127 G138:H138">
      <formula1>ValidPhases</formula1>
    </dataValidation>
    <dataValidation type="list" allowBlank="1" showInputMessage="1" showErrorMessage="1" sqref="E141 E9 E11 E13 E15 E20 E22 E24 E26 E144 E17 E28 E5 E7 E32 E35 E37 E30 E39 E43 E45 E47 E49 E41 E51 E55 E57 E60 E62 E53 E64 E70 E75 E77 E79 E81 E73 E83 E66 E68 E87 E89 E91 E93 E85 E95 E97 E101 E103 E105 E107 E99 E109 E113 E115 E118 E120 E111 E122 E125 E130 E132 E134 E136 E127 E138">
      <formula1>ValidStatus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I133"/>
  <sheetViews>
    <sheetView showGridLines="0" workbookViewId="0">
      <pane ySplit="2" topLeftCell="A3" activePane="bottomLeft" state="frozen"/>
      <selection pane="bottomLeft" activeCell="I34" sqref="I3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TestingDetail-clss-base</v>
      </c>
      <c r="B1" s="235"/>
      <c r="C1" s="230" t="str">
        <f>ProjectSummary!$D$1</f>
        <v xml:space="preserve"> -  /</v>
      </c>
      <c r="D1" s="230"/>
      <c r="E1" s="230"/>
      <c r="F1" s="230"/>
      <c r="G1" s="203"/>
      <c r="H1" s="204"/>
      <c r="I1" s="205"/>
    </row>
    <row r="2" spans="1:9" s="77" customFormat="1" ht="33" thickTop="1" thickBot="1" x14ac:dyDescent="0.3">
      <c r="A2" s="243" t="s">
        <v>489</v>
      </c>
      <c r="B2" s="206" t="s">
        <v>126</v>
      </c>
      <c r="C2" s="207" t="s">
        <v>0</v>
      </c>
      <c r="D2" s="208" t="s">
        <v>62</v>
      </c>
      <c r="E2" s="208" t="s">
        <v>61</v>
      </c>
      <c r="F2" s="209" t="s">
        <v>58</v>
      </c>
      <c r="G2" s="210" t="s">
        <v>201</v>
      </c>
      <c r="H2" s="211" t="s">
        <v>202</v>
      </c>
      <c r="I2" s="212" t="s">
        <v>60</v>
      </c>
    </row>
    <row r="3" spans="1:9" s="25" customFormat="1" ht="19.5" hidden="1" customHeight="1" thickTop="1" x14ac:dyDescent="0.25">
      <c r="A3" s="71"/>
      <c r="B3" s="122" t="s">
        <v>206</v>
      </c>
      <c r="C3" s="140" t="s">
        <v>204</v>
      </c>
      <c r="D3" s="100"/>
      <c r="E3" s="245" t="s">
        <v>205</v>
      </c>
      <c r="F3" s="245"/>
      <c r="G3" s="245"/>
      <c r="H3" s="101"/>
      <c r="I3" s="72"/>
    </row>
    <row r="4" spans="1:9" s="73" customFormat="1" ht="16.5" thickTop="1" x14ac:dyDescent="0.25">
      <c r="A4" s="193"/>
      <c r="B4" s="194" t="s">
        <v>66</v>
      </c>
      <c r="C4" s="195"/>
      <c r="D4" s="196"/>
      <c r="E4" s="197"/>
      <c r="F4" s="198"/>
      <c r="G4" s="198"/>
      <c r="H4" s="199"/>
      <c r="I4" s="200"/>
    </row>
    <row r="5" spans="1:9" ht="30" x14ac:dyDescent="0.25">
      <c r="A5" s="52">
        <f>IF(AND(B5&lt;&gt;"",C5&lt;&gt;"",LEFT(B5,1)&lt;&gt;"#"),MAX($A$2:A4)+1,"")</f>
        <v>1</v>
      </c>
      <c r="B5" s="14" t="s">
        <v>1</v>
      </c>
      <c r="C5" s="10" t="s">
        <v>2</v>
      </c>
      <c r="D5" s="51"/>
      <c r="E5" s="56"/>
      <c r="F5" s="26"/>
      <c r="G5" s="69"/>
      <c r="H5" s="74"/>
      <c r="I5" s="65"/>
    </row>
    <row r="6" spans="1:9" x14ac:dyDescent="0.25">
      <c r="A6" s="58"/>
      <c r="B6" s="102" t="str">
        <f>$B$3</f>
        <v>( Add new test case )</v>
      </c>
      <c r="C6" s="105" t="str">
        <f>$C$3</f>
        <v>( Remove previous test result )</v>
      </c>
      <c r="D6" s="100"/>
      <c r="E6" s="244" t="s">
        <v>205</v>
      </c>
      <c r="F6" s="244"/>
      <c r="G6" s="244"/>
      <c r="H6" s="185"/>
      <c r="I6" s="66"/>
    </row>
    <row r="7" spans="1:9" x14ac:dyDescent="0.25">
      <c r="A7" s="52">
        <f>IF(AND(B7&lt;&gt;"",C7&lt;&gt;"",LEFT(B7,1)&lt;&gt;"#"),MAX($A$2:A6)+1,"")</f>
        <v>2</v>
      </c>
      <c r="B7" s="14" t="s">
        <v>357</v>
      </c>
      <c r="C7" s="10" t="s">
        <v>358</v>
      </c>
      <c r="D7" s="152"/>
      <c r="E7" s="56"/>
      <c r="F7" s="26"/>
      <c r="G7" s="69"/>
      <c r="H7" s="74"/>
      <c r="I7" s="67"/>
    </row>
    <row r="8" spans="1:9" x14ac:dyDescent="0.25">
      <c r="A8" s="58"/>
      <c r="B8" s="102" t="str">
        <f>$B$3</f>
        <v>( Add new test case )</v>
      </c>
      <c r="C8" s="105" t="str">
        <f>$C$3</f>
        <v>( Remove previous test result )</v>
      </c>
      <c r="D8" s="100"/>
      <c r="E8" s="244" t="s">
        <v>205</v>
      </c>
      <c r="F8" s="244"/>
      <c r="G8" s="244"/>
      <c r="H8" s="185"/>
      <c r="I8" s="66"/>
    </row>
    <row r="9" spans="1:9" x14ac:dyDescent="0.25">
      <c r="A9" s="52">
        <f>IF(AND(B9&lt;&gt;"",C9&lt;&gt;"",LEFT(B9,1)&lt;&gt;"#"),MAX($A$2:A8)+1,"")</f>
        <v>3</v>
      </c>
      <c r="B9" s="15" t="s">
        <v>359</v>
      </c>
      <c r="C9" s="4" t="s">
        <v>360</v>
      </c>
      <c r="D9" s="152"/>
      <c r="E9" s="55"/>
      <c r="F9" s="23"/>
      <c r="G9" s="70"/>
      <c r="H9" s="75"/>
      <c r="I9" s="67"/>
    </row>
    <row r="10" spans="1:9" x14ac:dyDescent="0.25">
      <c r="A10" s="58"/>
      <c r="B10" s="102" t="str">
        <f>$B$3</f>
        <v>( Add new test case )</v>
      </c>
      <c r="C10" s="105" t="str">
        <f>$C$3</f>
        <v>( Remove previous test result )</v>
      </c>
      <c r="D10" s="100"/>
      <c r="E10" s="244" t="s">
        <v>205</v>
      </c>
      <c r="F10" s="244"/>
      <c r="G10" s="244"/>
      <c r="H10" s="185"/>
      <c r="I10" s="66"/>
    </row>
    <row r="11" spans="1:9" x14ac:dyDescent="0.25">
      <c r="A11" s="52">
        <f>IF(AND(B11&lt;&gt;"",C11&lt;&gt;"",LEFT(B11,1)&lt;&gt;"#"),MAX($A$2:A10)+1,"")</f>
        <v>4</v>
      </c>
      <c r="B11" s="15" t="s">
        <v>361</v>
      </c>
      <c r="C11" s="4" t="s">
        <v>362</v>
      </c>
      <c r="D11" s="152"/>
      <c r="E11" s="55"/>
      <c r="F11" s="23"/>
      <c r="G11" s="70"/>
      <c r="H11" s="75"/>
      <c r="I11" s="67"/>
    </row>
    <row r="12" spans="1:9" x14ac:dyDescent="0.25">
      <c r="A12" s="58"/>
      <c r="B12" s="102" t="str">
        <f>$B$3</f>
        <v>( Add new test case )</v>
      </c>
      <c r="C12" s="105" t="str">
        <f>$C$3</f>
        <v>( Remove previous test result )</v>
      </c>
      <c r="D12" s="100"/>
      <c r="E12" s="244" t="s">
        <v>205</v>
      </c>
      <c r="F12" s="244"/>
      <c r="G12" s="244"/>
      <c r="H12" s="185"/>
      <c r="I12" s="66"/>
    </row>
    <row r="13" spans="1:9" x14ac:dyDescent="0.25">
      <c r="A13" s="52">
        <f>IF(AND(B13&lt;&gt;"",C13&lt;&gt;"",LEFT(B13,1)&lt;&gt;"#"),MAX($A$2:A12)+1,"")</f>
        <v>5</v>
      </c>
      <c r="B13" s="15" t="s">
        <v>363</v>
      </c>
      <c r="C13" s="4" t="s">
        <v>364</v>
      </c>
      <c r="D13" s="152"/>
      <c r="E13" s="55"/>
      <c r="F13" s="23"/>
      <c r="G13" s="70"/>
      <c r="H13" s="75"/>
      <c r="I13" s="67"/>
    </row>
    <row r="14" spans="1:9" x14ac:dyDescent="0.25">
      <c r="A14" s="58"/>
      <c r="B14" s="102" t="str">
        <f>$B$3</f>
        <v>( Add new test case )</v>
      </c>
      <c r="C14" s="105" t="str">
        <f>$C$3</f>
        <v>( Remove previous test result )</v>
      </c>
      <c r="D14" s="100"/>
      <c r="E14" s="244" t="s">
        <v>205</v>
      </c>
      <c r="F14" s="244"/>
      <c r="G14" s="244"/>
      <c r="H14" s="185"/>
      <c r="I14" s="66"/>
    </row>
    <row r="15" spans="1:9" ht="30" x14ac:dyDescent="0.25">
      <c r="A15" s="52">
        <f>IF(AND(B15&lt;&gt;"",C15&lt;&gt;"",LEFT(B15,1)&lt;&gt;"#"),MAX($A$2:A14)+1,"")</f>
        <v>6</v>
      </c>
      <c r="B15" s="15" t="s">
        <v>365</v>
      </c>
      <c r="C15" s="4" t="s">
        <v>366</v>
      </c>
      <c r="D15" s="152"/>
      <c r="E15" s="55"/>
      <c r="F15" s="23" t="str">
        <f t="shared" ref="F15:F25" ca="1" si="0">IF(E15&lt;&gt;"",NOW(),"")</f>
        <v/>
      </c>
      <c r="G15" s="70"/>
      <c r="H15" s="75"/>
      <c r="I15" s="67"/>
    </row>
    <row r="16" spans="1:9" x14ac:dyDescent="0.25">
      <c r="A16" s="58"/>
      <c r="B16" s="102" t="str">
        <f>$B$3</f>
        <v>( Add new test case )</v>
      </c>
      <c r="C16" s="105" t="str">
        <f>$C$3</f>
        <v>( Remove previous test result )</v>
      </c>
      <c r="D16" s="100"/>
      <c r="E16" s="244" t="s">
        <v>205</v>
      </c>
      <c r="F16" s="244"/>
      <c r="G16" s="244"/>
      <c r="H16" s="185"/>
      <c r="I16" s="66"/>
    </row>
    <row r="17" spans="1:9" ht="30" x14ac:dyDescent="0.25">
      <c r="A17" s="52">
        <f>IF(AND(B17&lt;&gt;"",C17&lt;&gt;"",LEFT(B17,1)&lt;&gt;"#"),MAX($A$2:A16)+1,"")</f>
        <v>7</v>
      </c>
      <c r="B17" s="15" t="s">
        <v>367</v>
      </c>
      <c r="C17" s="4" t="s">
        <v>368</v>
      </c>
      <c r="D17" s="152"/>
      <c r="E17" s="55"/>
      <c r="F17" s="23"/>
      <c r="G17" s="70"/>
      <c r="H17" s="75"/>
      <c r="I17" s="67"/>
    </row>
    <row r="18" spans="1:9" x14ac:dyDescent="0.25">
      <c r="A18" s="58"/>
      <c r="B18" s="102" t="str">
        <f>$B$3</f>
        <v>( Add new test case )</v>
      </c>
      <c r="C18" s="105" t="str">
        <f>$C$3</f>
        <v>( Remove previous test result )</v>
      </c>
      <c r="D18" s="100"/>
      <c r="E18" s="244" t="s">
        <v>205</v>
      </c>
      <c r="F18" s="244"/>
      <c r="G18" s="244"/>
      <c r="H18" s="185"/>
      <c r="I18" s="66"/>
    </row>
    <row r="19" spans="1:9" x14ac:dyDescent="0.25">
      <c r="A19" s="52">
        <f>IF(AND(B19&lt;&gt;"",C19&lt;&gt;"",LEFT(B19,1)&lt;&gt;"#"),MAX($A$2:A18)+1,"")</f>
        <v>8</v>
      </c>
      <c r="B19" s="15" t="s">
        <v>369</v>
      </c>
      <c r="C19" s="4" t="s">
        <v>370</v>
      </c>
      <c r="D19" s="152"/>
      <c r="E19" s="55"/>
      <c r="F19" s="23" t="str">
        <f t="shared" ca="1" si="0"/>
        <v/>
      </c>
      <c r="G19" s="70"/>
      <c r="H19" s="75"/>
      <c r="I19" s="67"/>
    </row>
    <row r="20" spans="1:9" x14ac:dyDescent="0.25">
      <c r="A20" s="58"/>
      <c r="B20" s="102" t="str">
        <f>$B$3</f>
        <v>( Add new test case )</v>
      </c>
      <c r="C20" s="105" t="str">
        <f>$C$3</f>
        <v>( Remove previous test result )</v>
      </c>
      <c r="D20" s="100"/>
      <c r="E20" s="244" t="s">
        <v>205</v>
      </c>
      <c r="F20" s="244"/>
      <c r="G20" s="244"/>
      <c r="H20" s="185"/>
      <c r="I20" s="66"/>
    </row>
    <row r="21" spans="1:9" x14ac:dyDescent="0.25">
      <c r="A21" s="52">
        <f>IF(AND(B21&lt;&gt;"",C21&lt;&gt;"",LEFT(B21,1)&lt;&gt;"#"),MAX($A$2:A20)+1,"")</f>
        <v>9</v>
      </c>
      <c r="B21" s="15" t="s">
        <v>371</v>
      </c>
      <c r="C21" s="4" t="s">
        <v>372</v>
      </c>
      <c r="D21" s="152"/>
      <c r="E21" s="55"/>
      <c r="F21" s="23" t="str">
        <f t="shared" ca="1" si="0"/>
        <v/>
      </c>
      <c r="G21" s="70"/>
      <c r="H21" s="75"/>
      <c r="I21" s="67"/>
    </row>
    <row r="22" spans="1:9" x14ac:dyDescent="0.25">
      <c r="A22" s="58"/>
      <c r="B22" s="102" t="str">
        <f>$B$3</f>
        <v>( Add new test case )</v>
      </c>
      <c r="C22" s="105" t="str">
        <f>$C$3</f>
        <v>( Remove previous test result )</v>
      </c>
      <c r="D22" s="100"/>
      <c r="E22" s="244" t="s">
        <v>205</v>
      </c>
      <c r="F22" s="244"/>
      <c r="G22" s="244"/>
      <c r="H22" s="185"/>
      <c r="I22" s="66"/>
    </row>
    <row r="23" spans="1:9" x14ac:dyDescent="0.25">
      <c r="A23" s="52">
        <f>IF(AND(B23&lt;&gt;"",C23&lt;&gt;"",LEFT(B23,1)&lt;&gt;"#"),MAX($A$2:A22)+1,"")</f>
        <v>10</v>
      </c>
      <c r="B23" s="15" t="s">
        <v>371</v>
      </c>
      <c r="C23" s="4" t="s">
        <v>372</v>
      </c>
      <c r="D23" s="152"/>
      <c r="E23" s="55"/>
      <c r="F23" s="23" t="str">
        <f t="shared" ca="1" si="0"/>
        <v/>
      </c>
      <c r="G23" s="70"/>
      <c r="H23" s="75"/>
      <c r="I23" s="67"/>
    </row>
    <row r="24" spans="1:9" x14ac:dyDescent="0.25">
      <c r="A24" s="58"/>
      <c r="B24" s="102" t="str">
        <f>$B$3</f>
        <v>( Add new test case )</v>
      </c>
      <c r="C24" s="105" t="str">
        <f>$C$3</f>
        <v>( Remove previous test result )</v>
      </c>
      <c r="D24" s="100"/>
      <c r="E24" s="244" t="s">
        <v>205</v>
      </c>
      <c r="F24" s="244"/>
      <c r="G24" s="244"/>
      <c r="H24" s="185"/>
      <c r="I24" s="66"/>
    </row>
    <row r="25" spans="1:9" x14ac:dyDescent="0.25">
      <c r="A25" s="52">
        <f>IF(AND(B25&lt;&gt;"",C25&lt;&gt;"",LEFT(B25,1)&lt;&gt;"#"),MAX($A$2:A24)+1,"")</f>
        <v>11</v>
      </c>
      <c r="B25" s="15" t="s">
        <v>373</v>
      </c>
      <c r="C25" s="4" t="s">
        <v>374</v>
      </c>
      <c r="D25" s="152"/>
      <c r="E25" s="55"/>
      <c r="F25" s="23" t="str">
        <f t="shared" ca="1" si="0"/>
        <v/>
      </c>
      <c r="G25" s="70"/>
      <c r="H25" s="75"/>
      <c r="I25" s="67"/>
    </row>
    <row r="26" spans="1:9" x14ac:dyDescent="0.25">
      <c r="A26" s="58"/>
      <c r="B26" s="102" t="str">
        <f>$B$3</f>
        <v>( Add new test case )</v>
      </c>
      <c r="C26" s="105" t="str">
        <f>$C$3</f>
        <v>( Remove previous test result )</v>
      </c>
      <c r="D26" s="100"/>
      <c r="E26" s="244" t="s">
        <v>205</v>
      </c>
      <c r="F26" s="244"/>
      <c r="G26" s="244"/>
      <c r="H26" s="185"/>
      <c r="I26" s="66"/>
    </row>
    <row r="27" spans="1:9" ht="30" x14ac:dyDescent="0.25">
      <c r="A27" s="52">
        <f>IF(AND(B27&lt;&gt;"",C27&lt;&gt;"",LEFT(B27,1)&lt;&gt;"#"),MAX($A$2:A26)+1,"")</f>
        <v>12</v>
      </c>
      <c r="B27" s="15" t="s">
        <v>375</v>
      </c>
      <c r="C27" s="4" t="s">
        <v>376</v>
      </c>
      <c r="D27" s="152"/>
      <c r="E27" s="55"/>
      <c r="F27" s="23"/>
      <c r="G27" s="70"/>
      <c r="H27" s="75"/>
      <c r="I27" s="67"/>
    </row>
    <row r="28" spans="1:9" x14ac:dyDescent="0.25">
      <c r="A28" s="58"/>
      <c r="B28" s="102" t="str">
        <f>$B$3</f>
        <v>( Add new test case )</v>
      </c>
      <c r="C28" s="105" t="str">
        <f>$C$3</f>
        <v>( Remove previous test result )</v>
      </c>
      <c r="D28" s="100"/>
      <c r="E28" s="244" t="s">
        <v>205</v>
      </c>
      <c r="F28" s="244"/>
      <c r="G28" s="244"/>
      <c r="H28" s="185"/>
      <c r="I28" s="66"/>
    </row>
    <row r="29" spans="1:9" ht="30" x14ac:dyDescent="0.25">
      <c r="A29" s="52">
        <f>IF(AND(B29&lt;&gt;"",C29&lt;&gt;"",LEFT(B29,1)&lt;&gt;"#"),MAX($A$2:A28)+1,"")</f>
        <v>13</v>
      </c>
      <c r="B29" s="15" t="s">
        <v>377</v>
      </c>
      <c r="C29" s="4" t="s">
        <v>378</v>
      </c>
      <c r="D29" s="152"/>
      <c r="E29" s="55"/>
      <c r="F29" s="23"/>
      <c r="G29" s="70"/>
      <c r="H29" s="75"/>
      <c r="I29" s="67"/>
    </row>
    <row r="30" spans="1:9" x14ac:dyDescent="0.25">
      <c r="A30" s="121"/>
      <c r="B30" s="122" t="str">
        <f>$B$3</f>
        <v>( Add new test case )</v>
      </c>
      <c r="C30" s="140" t="str">
        <f>$C$3</f>
        <v>( Remove previous test result )</v>
      </c>
      <c r="D30" s="100"/>
      <c r="E30" s="245" t="s">
        <v>205</v>
      </c>
      <c r="F30" s="245"/>
      <c r="G30" s="245"/>
      <c r="H30" s="202"/>
      <c r="I30" s="83"/>
    </row>
    <row r="31" spans="1:9" ht="15.75" x14ac:dyDescent="0.25">
      <c r="A31" s="124" t="str">
        <f>IF(AND(B31&lt;&gt;"",C31&lt;&gt;"",LEFT(B31,1)&lt;&gt;"#"),MAX(#REF!)+1,"")</f>
        <v/>
      </c>
      <c r="B31" s="150" t="s">
        <v>379</v>
      </c>
      <c r="C31" s="125"/>
      <c r="D31" s="126"/>
      <c r="E31" s="127"/>
      <c r="F31" s="128"/>
      <c r="G31" s="128"/>
      <c r="H31" s="129"/>
      <c r="I31" s="130"/>
    </row>
    <row r="32" spans="1:9" x14ac:dyDescent="0.25">
      <c r="A32" s="52">
        <f>IF(AND(B32&lt;&gt;"",C32&lt;&gt;"",LEFT(B32,1)&lt;&gt;"#"),MAX($A$2:A30)+1,"")</f>
        <v>14</v>
      </c>
      <c r="B32" s="14" t="s">
        <v>381</v>
      </c>
      <c r="C32" s="10" t="s">
        <v>382</v>
      </c>
      <c r="D32" s="51"/>
      <c r="E32" s="56"/>
      <c r="F32" s="26" t="str">
        <f t="shared" ref="F32" ca="1" si="1">IF(E32&lt;&gt;"",NOW(),"")</f>
        <v/>
      </c>
      <c r="G32" s="69"/>
      <c r="H32" s="74"/>
      <c r="I32" s="65"/>
    </row>
    <row r="33" spans="1:9" x14ac:dyDescent="0.25">
      <c r="A33" s="58"/>
      <c r="B33" s="102" t="str">
        <f>$B$3</f>
        <v>( Add new test case )</v>
      </c>
      <c r="C33" s="105" t="str">
        <f>$C$3</f>
        <v>( Remove previous test result )</v>
      </c>
      <c r="D33" s="184"/>
      <c r="E33" s="244" t="s">
        <v>205</v>
      </c>
      <c r="F33" s="244"/>
      <c r="G33" s="244"/>
      <c r="H33" s="185"/>
      <c r="I33" s="66"/>
    </row>
    <row r="34" spans="1:9" x14ac:dyDescent="0.25">
      <c r="A34" s="52">
        <f>IF(AND(B34&lt;&gt;"",C34&lt;&gt;"",LEFT(B34,1)&lt;&gt;"#"),MAX($A$2:A33)+1,"")</f>
        <v>15</v>
      </c>
      <c r="B34" s="16" t="s">
        <v>383</v>
      </c>
      <c r="C34" s="5" t="s">
        <v>384</v>
      </c>
      <c r="D34" s="51"/>
      <c r="E34" s="55"/>
      <c r="F34" s="23" t="str">
        <f t="shared" ref="F34" ca="1" si="2">IF(E34&lt;&gt;"",NOW(),"")</f>
        <v/>
      </c>
      <c r="G34" s="70"/>
      <c r="H34" s="75"/>
      <c r="I34" s="67"/>
    </row>
    <row r="35" spans="1:9" x14ac:dyDescent="0.25">
      <c r="A35" s="58"/>
      <c r="B35" s="102" t="str">
        <f>$B$3</f>
        <v>( Add new test case )</v>
      </c>
      <c r="C35" s="105" t="str">
        <f>$C$3</f>
        <v>( Remove previous test result )</v>
      </c>
      <c r="D35" s="184"/>
      <c r="E35" s="244" t="s">
        <v>205</v>
      </c>
      <c r="F35" s="244"/>
      <c r="G35" s="244"/>
      <c r="H35" s="185"/>
      <c r="I35" s="66"/>
    </row>
    <row r="36" spans="1:9" x14ac:dyDescent="0.25">
      <c r="A36" s="52">
        <f>IF(AND(B36&lt;&gt;"",C36&lt;&gt;"",LEFT(B36,1)&lt;&gt;"#"),MAX($A$2:A35)+1,"")</f>
        <v>16</v>
      </c>
      <c r="B36" s="17" t="s">
        <v>385</v>
      </c>
      <c r="C36" s="6" t="s">
        <v>386</v>
      </c>
      <c r="D36" s="51"/>
      <c r="E36" s="55"/>
      <c r="F36" s="23" t="str">
        <f t="shared" ref="F36" ca="1" si="3">IF(E36&lt;&gt;"",NOW(),"")</f>
        <v/>
      </c>
      <c r="G36" s="70"/>
      <c r="H36" s="75"/>
      <c r="I36" s="67"/>
    </row>
    <row r="37" spans="1:9" x14ac:dyDescent="0.25">
      <c r="A37" s="58"/>
      <c r="B37" s="102" t="str">
        <f>$B$3</f>
        <v>( Add new test case )</v>
      </c>
      <c r="C37" s="105" t="str">
        <f>$C$3</f>
        <v>( Remove previous test result )</v>
      </c>
      <c r="D37" s="184"/>
      <c r="E37" s="244" t="s">
        <v>205</v>
      </c>
      <c r="F37" s="244"/>
      <c r="G37" s="244"/>
      <c r="H37" s="185"/>
      <c r="I37" s="66"/>
    </row>
    <row r="38" spans="1:9" x14ac:dyDescent="0.25">
      <c r="A38" s="52">
        <f>IF(AND(B38&lt;&gt;"",C38&lt;&gt;"",LEFT(B38,1)&lt;&gt;"#"),MAX($A$2:A37)+1,"")</f>
        <v>17</v>
      </c>
      <c r="B38" s="16" t="s">
        <v>387</v>
      </c>
      <c r="C38" s="5" t="s">
        <v>388</v>
      </c>
      <c r="D38" s="51"/>
      <c r="E38" s="55"/>
      <c r="F38" s="23" t="str">
        <f t="shared" ref="F38" ca="1" si="4">IF(E38&lt;&gt;"",NOW(),"")</f>
        <v/>
      </c>
      <c r="G38" s="70"/>
      <c r="H38" s="75"/>
      <c r="I38" s="67"/>
    </row>
    <row r="39" spans="1:9" x14ac:dyDescent="0.25">
      <c r="A39" s="58"/>
      <c r="B39" s="102" t="str">
        <f>$B$3</f>
        <v>( Add new test case )</v>
      </c>
      <c r="C39" s="105" t="str">
        <f>$C$3</f>
        <v>( Remove previous test result )</v>
      </c>
      <c r="D39" s="184"/>
      <c r="E39" s="244" t="s">
        <v>205</v>
      </c>
      <c r="F39" s="244"/>
      <c r="G39" s="244"/>
      <c r="H39" s="185"/>
      <c r="I39" s="66"/>
    </row>
    <row r="40" spans="1:9" x14ac:dyDescent="0.25">
      <c r="A40" s="52">
        <f>IF(AND(B40&lt;&gt;"",C40&lt;&gt;"",LEFT(B40,1)&lt;&gt;"#"),MAX($A$2:A39)+1,"")</f>
        <v>18</v>
      </c>
      <c r="B40" s="16" t="s">
        <v>389</v>
      </c>
      <c r="C40" s="5" t="s">
        <v>390</v>
      </c>
      <c r="D40" s="51"/>
      <c r="E40" s="55"/>
      <c r="F40" s="23"/>
      <c r="G40" s="70"/>
      <c r="H40" s="75"/>
      <c r="I40" s="67"/>
    </row>
    <row r="41" spans="1:9" x14ac:dyDescent="0.25">
      <c r="A41" s="58"/>
      <c r="B41" s="102" t="str">
        <f>$B$3</f>
        <v>( Add new test case )</v>
      </c>
      <c r="C41" s="105" t="str">
        <f>$C$3</f>
        <v>( Remove previous test result )</v>
      </c>
      <c r="D41" s="184"/>
      <c r="E41" s="244" t="s">
        <v>205</v>
      </c>
      <c r="F41" s="244"/>
      <c r="G41" s="244"/>
      <c r="H41" s="185"/>
      <c r="I41" s="66"/>
    </row>
    <row r="42" spans="1:9" x14ac:dyDescent="0.25">
      <c r="A42" s="52">
        <f>IF(AND(B42&lt;&gt;"",C42&lt;&gt;"",LEFT(B42,1)&lt;&gt;"#"),MAX($A$2:A41)+1,"")</f>
        <v>19</v>
      </c>
      <c r="B42" s="16" t="s">
        <v>391</v>
      </c>
      <c r="C42" s="5" t="s">
        <v>392</v>
      </c>
      <c r="D42" s="51"/>
      <c r="E42" s="55"/>
      <c r="F42" s="23"/>
      <c r="G42" s="70"/>
      <c r="H42" s="75"/>
      <c r="I42" s="67"/>
    </row>
    <row r="43" spans="1:9" x14ac:dyDescent="0.25">
      <c r="A43" s="58"/>
      <c r="B43" s="102" t="str">
        <f>$B$3</f>
        <v>( Add new test case )</v>
      </c>
      <c r="C43" s="105" t="str">
        <f>$C$3</f>
        <v>( Remove previous test result )</v>
      </c>
      <c r="D43" s="184"/>
      <c r="E43" s="244" t="s">
        <v>205</v>
      </c>
      <c r="F43" s="244"/>
      <c r="G43" s="244"/>
      <c r="H43" s="185"/>
      <c r="I43" s="66"/>
    </row>
    <row r="44" spans="1:9" x14ac:dyDescent="0.25">
      <c r="A44" s="52">
        <f>IF(AND(B44&lt;&gt;"",C44&lt;&gt;"",LEFT(B44,1)&lt;&gt;"#"),MAX($A$2:A43)+1,"")</f>
        <v>20</v>
      </c>
      <c r="B44" s="15" t="s">
        <v>393</v>
      </c>
      <c r="C44" s="4" t="s">
        <v>394</v>
      </c>
      <c r="D44" s="51"/>
      <c r="E44" s="55"/>
      <c r="F44" s="23" t="str">
        <f t="shared" ref="F44" ca="1" si="5">IF(E44&lt;&gt;"",NOW(),"")</f>
        <v/>
      </c>
      <c r="G44" s="70"/>
      <c r="H44" s="75"/>
      <c r="I44" s="67"/>
    </row>
    <row r="45" spans="1:9" x14ac:dyDescent="0.25">
      <c r="A45" s="58"/>
      <c r="B45" s="102" t="str">
        <f>$B$3</f>
        <v>( Add new test case )</v>
      </c>
      <c r="C45" s="105" t="str">
        <f>$C$3</f>
        <v>( Remove previous test result )</v>
      </c>
      <c r="D45" s="184"/>
      <c r="E45" s="244" t="s">
        <v>205</v>
      </c>
      <c r="F45" s="244"/>
      <c r="G45" s="244"/>
      <c r="H45" s="185"/>
      <c r="I45" s="66"/>
    </row>
    <row r="46" spans="1:9" x14ac:dyDescent="0.25">
      <c r="A46" s="52">
        <f>IF(AND(B46&lt;&gt;"",C46&lt;&gt;"",LEFT(B46,1)&lt;&gt;"#"),MAX($A$2:A45)+1,"")</f>
        <v>21</v>
      </c>
      <c r="B46" s="15" t="s">
        <v>395</v>
      </c>
      <c r="C46" s="4" t="s">
        <v>394</v>
      </c>
      <c r="D46" s="51"/>
      <c r="E46" s="55"/>
      <c r="F46" s="23"/>
      <c r="G46" s="70"/>
      <c r="H46" s="75"/>
      <c r="I46" s="67"/>
    </row>
    <row r="47" spans="1:9" x14ac:dyDescent="0.25">
      <c r="A47" s="121"/>
      <c r="B47" s="122" t="str">
        <f>$B$3</f>
        <v>( Add new test case )</v>
      </c>
      <c r="C47" s="140" t="str">
        <f>$C$3</f>
        <v>( Remove previous test result )</v>
      </c>
      <c r="D47" s="201"/>
      <c r="E47" s="245" t="s">
        <v>205</v>
      </c>
      <c r="F47" s="245"/>
      <c r="G47" s="245"/>
      <c r="H47" s="202"/>
      <c r="I47" s="83"/>
    </row>
    <row r="48" spans="1:9" ht="15.75" x14ac:dyDescent="0.25">
      <c r="A48" s="124" t="str">
        <f>IF(AND(B48&lt;&gt;"",C48&lt;&gt;"",LEFT(B48,1)&lt;&gt;"#"),MAX(#REF!)+1,"")</f>
        <v/>
      </c>
      <c r="B48" s="150" t="s">
        <v>380</v>
      </c>
      <c r="C48" s="125"/>
      <c r="D48" s="126"/>
      <c r="E48" s="127"/>
      <c r="F48" s="128"/>
      <c r="G48" s="128"/>
      <c r="H48" s="129"/>
      <c r="I48" s="130"/>
    </row>
    <row r="49" spans="1:9" x14ac:dyDescent="0.25">
      <c r="A49" s="52">
        <f>IF(AND(B49&lt;&gt;"",C49&lt;&gt;"",LEFT(B49,1)&lt;&gt;"#"),MAX($A$2:A45)+1,"")</f>
        <v>21</v>
      </c>
      <c r="B49" s="14" t="s">
        <v>396</v>
      </c>
      <c r="C49" s="10" t="s">
        <v>397</v>
      </c>
      <c r="D49" s="51"/>
      <c r="E49" s="56"/>
      <c r="F49" s="26" t="str">
        <f t="shared" ref="F49" ca="1" si="6">IF(E49&lt;&gt;"",NOW(),"")</f>
        <v/>
      </c>
      <c r="G49" s="69"/>
      <c r="H49" s="74"/>
      <c r="I49" s="65"/>
    </row>
    <row r="50" spans="1:9" x14ac:dyDescent="0.25">
      <c r="A50" s="58"/>
      <c r="B50" s="102" t="str">
        <f>$B$3</f>
        <v>( Add new test case )</v>
      </c>
      <c r="C50" s="105" t="str">
        <f>$C$3</f>
        <v>( Remove previous test result )</v>
      </c>
      <c r="D50" s="184"/>
      <c r="E50" s="244" t="s">
        <v>205</v>
      </c>
      <c r="F50" s="244"/>
      <c r="G50" s="244"/>
      <c r="H50" s="185"/>
      <c r="I50" s="66"/>
    </row>
    <row r="51" spans="1:9" x14ac:dyDescent="0.25">
      <c r="A51" s="52">
        <f>IF(AND(B51&lt;&gt;"",C51&lt;&gt;"",LEFT(B51,1)&lt;&gt;"#"),MAX($A$2:A50)+1,"")</f>
        <v>22</v>
      </c>
      <c r="B51" s="19" t="s">
        <v>398</v>
      </c>
      <c r="C51" s="7" t="s">
        <v>399</v>
      </c>
      <c r="D51" s="51"/>
      <c r="E51" s="55"/>
      <c r="F51" s="23" t="str">
        <f t="shared" ref="F51" ca="1" si="7">IF(E51&lt;&gt;"",NOW(),"")</f>
        <v/>
      </c>
      <c r="G51" s="70"/>
      <c r="H51" s="75"/>
      <c r="I51" s="67"/>
    </row>
    <row r="52" spans="1:9" x14ac:dyDescent="0.25">
      <c r="A52" s="58"/>
      <c r="B52" s="102" t="str">
        <f>$B$3</f>
        <v>( Add new test case )</v>
      </c>
      <c r="C52" s="105" t="str">
        <f>$C$3</f>
        <v>( Remove previous test result )</v>
      </c>
      <c r="D52" s="184"/>
      <c r="E52" s="244" t="s">
        <v>205</v>
      </c>
      <c r="F52" s="244"/>
      <c r="G52" s="244"/>
      <c r="H52" s="185"/>
      <c r="I52" s="66"/>
    </row>
    <row r="53" spans="1:9" x14ac:dyDescent="0.25">
      <c r="A53" s="52">
        <f>IF(AND(B53&lt;&gt;"",C53&lt;&gt;"",LEFT(B53,1)&lt;&gt;"#"),MAX($A$2:A52)+1,"")</f>
        <v>23</v>
      </c>
      <c r="B53" s="19" t="s">
        <v>400</v>
      </c>
      <c r="C53" s="7" t="s">
        <v>401</v>
      </c>
      <c r="D53" s="51"/>
      <c r="E53" s="55"/>
      <c r="F53" s="23" t="str">
        <f t="shared" ref="F53" ca="1" si="8">IF(E53&lt;&gt;"",NOW(),"")</f>
        <v/>
      </c>
      <c r="G53" s="70"/>
      <c r="H53" s="75"/>
      <c r="I53" s="67"/>
    </row>
    <row r="54" spans="1:9" x14ac:dyDescent="0.25">
      <c r="A54" s="58"/>
      <c r="B54" s="102" t="str">
        <f>$B$3</f>
        <v>( Add new test case )</v>
      </c>
      <c r="C54" s="105" t="str">
        <f>$C$3</f>
        <v>( Remove previous test result )</v>
      </c>
      <c r="D54" s="184"/>
      <c r="E54" s="244" t="s">
        <v>205</v>
      </c>
      <c r="F54" s="244"/>
      <c r="G54" s="244"/>
      <c r="H54" s="185"/>
      <c r="I54" s="66"/>
    </row>
    <row r="55" spans="1:9" x14ac:dyDescent="0.25">
      <c r="A55" s="52">
        <f>IF(AND(B55&lt;&gt;"",C55&lt;&gt;"",LEFT(B55,1)&lt;&gt;"#"),MAX($A$2:A54)+1,"")</f>
        <v>24</v>
      </c>
      <c r="B55" s="19" t="s">
        <v>402</v>
      </c>
      <c r="C55" s="7" t="s">
        <v>403</v>
      </c>
      <c r="D55" s="51"/>
      <c r="E55" s="55"/>
      <c r="F55" s="23"/>
      <c r="G55" s="70"/>
      <c r="H55" s="75"/>
      <c r="I55" s="67"/>
    </row>
    <row r="56" spans="1:9" x14ac:dyDescent="0.25">
      <c r="A56" s="58"/>
      <c r="B56" s="102" t="str">
        <f>$B$3</f>
        <v>( Add new test case )</v>
      </c>
      <c r="C56" s="105" t="str">
        <f>$C$3</f>
        <v>( Remove previous test result )</v>
      </c>
      <c r="D56" s="184"/>
      <c r="E56" s="244" t="s">
        <v>205</v>
      </c>
      <c r="F56" s="244"/>
      <c r="G56" s="244"/>
      <c r="H56" s="185"/>
      <c r="I56" s="66"/>
    </row>
    <row r="57" spans="1:9" x14ac:dyDescent="0.25">
      <c r="A57" s="52">
        <f>IF(AND(B57&lt;&gt;"",C57&lt;&gt;"",LEFT(B57,1)&lt;&gt;"#"),MAX($A$2:A56)+1,"")</f>
        <v>25</v>
      </c>
      <c r="B57" s="19" t="s">
        <v>404</v>
      </c>
      <c r="C57" s="7" t="s">
        <v>405</v>
      </c>
      <c r="D57" s="51"/>
      <c r="E57" s="55"/>
      <c r="F57" s="23"/>
      <c r="G57" s="70"/>
      <c r="H57" s="75"/>
      <c r="I57" s="67"/>
    </row>
    <row r="58" spans="1:9" x14ac:dyDescent="0.25">
      <c r="A58" s="58"/>
      <c r="B58" s="102" t="str">
        <f>$B$3</f>
        <v>( Add new test case )</v>
      </c>
      <c r="C58" s="105" t="str">
        <f>$C$3</f>
        <v>( Remove previous test result )</v>
      </c>
      <c r="D58" s="184"/>
      <c r="E58" s="244" t="s">
        <v>205</v>
      </c>
      <c r="F58" s="244"/>
      <c r="G58" s="244"/>
      <c r="H58" s="185"/>
      <c r="I58" s="66"/>
    </row>
    <row r="59" spans="1:9" x14ac:dyDescent="0.25">
      <c r="A59" s="52">
        <f>IF(AND(B59&lt;&gt;"",C59&lt;&gt;"",LEFT(B59,1)&lt;&gt;"#"),MAX($A$2:A58)+1,"")</f>
        <v>26</v>
      </c>
      <c r="B59" s="19" t="s">
        <v>406</v>
      </c>
      <c r="C59" s="7" t="s">
        <v>407</v>
      </c>
      <c r="D59" s="51"/>
      <c r="E59" s="55"/>
      <c r="F59" s="23" t="str">
        <f t="shared" ref="F59" ca="1" si="9">IF(E59&lt;&gt;"",NOW(),"")</f>
        <v/>
      </c>
      <c r="G59" s="70"/>
      <c r="H59" s="75"/>
      <c r="I59" s="67"/>
    </row>
    <row r="60" spans="1:9" x14ac:dyDescent="0.25">
      <c r="A60" s="58"/>
      <c r="B60" s="102" t="str">
        <f>$B$3</f>
        <v>( Add new test case )</v>
      </c>
      <c r="C60" s="105" t="str">
        <f>$C$3</f>
        <v>( Remove previous test result )</v>
      </c>
      <c r="D60" s="184"/>
      <c r="E60" s="244" t="s">
        <v>205</v>
      </c>
      <c r="F60" s="244"/>
      <c r="G60" s="244"/>
      <c r="H60" s="185"/>
      <c r="I60" s="66"/>
    </row>
    <row r="61" spans="1:9" x14ac:dyDescent="0.25">
      <c r="A61" s="52">
        <f>IF(AND(B61&lt;&gt;"",C61&lt;&gt;"",LEFT(B61,1)&lt;&gt;"#"),MAX($A$2:A60)+1,"")</f>
        <v>27</v>
      </c>
      <c r="B61" s="19" t="s">
        <v>408</v>
      </c>
      <c r="C61" s="7" t="s">
        <v>409</v>
      </c>
      <c r="D61" s="51"/>
      <c r="E61" s="55"/>
      <c r="F61" s="23" t="str">
        <f t="shared" ref="F61" ca="1" si="10">IF(E61&lt;&gt;"",NOW(),"")</f>
        <v/>
      </c>
      <c r="G61" s="70"/>
      <c r="H61" s="75"/>
      <c r="I61" s="67"/>
    </row>
    <row r="62" spans="1:9" x14ac:dyDescent="0.25">
      <c r="A62" s="58"/>
      <c r="B62" s="102" t="str">
        <f>$B$3</f>
        <v>( Add new test case )</v>
      </c>
      <c r="C62" s="105" t="str">
        <f>$C$3</f>
        <v>( Remove previous test result )</v>
      </c>
      <c r="D62" s="184"/>
      <c r="E62" s="244" t="s">
        <v>205</v>
      </c>
      <c r="F62" s="244"/>
      <c r="G62" s="244"/>
      <c r="H62" s="185"/>
      <c r="I62" s="66"/>
    </row>
    <row r="63" spans="1:9" x14ac:dyDescent="0.25">
      <c r="A63" s="52">
        <f>IF(AND(B63&lt;&gt;"",C63&lt;&gt;"",LEFT(B63,1)&lt;&gt;"#"),MAX($A$2:A62)+1,"")</f>
        <v>28</v>
      </c>
      <c r="B63" s="19" t="s">
        <v>410</v>
      </c>
      <c r="C63" s="7" t="s">
        <v>411</v>
      </c>
      <c r="D63" s="51"/>
      <c r="E63" s="55"/>
      <c r="F63" s="23" t="str">
        <f t="shared" ref="F63" ca="1" si="11">IF(E63&lt;&gt;"",NOW(),"")</f>
        <v/>
      </c>
      <c r="G63" s="70"/>
      <c r="H63" s="75"/>
      <c r="I63" s="67"/>
    </row>
    <row r="64" spans="1:9" x14ac:dyDescent="0.25">
      <c r="A64" s="58"/>
      <c r="B64" s="102" t="str">
        <f>$B$3</f>
        <v>( Add new test case )</v>
      </c>
      <c r="C64" s="105" t="str">
        <f>$C$3</f>
        <v>( Remove previous test result )</v>
      </c>
      <c r="D64" s="184"/>
      <c r="E64" s="244" t="s">
        <v>205</v>
      </c>
      <c r="F64" s="244"/>
      <c r="G64" s="244"/>
      <c r="H64" s="185"/>
      <c r="I64" s="66"/>
    </row>
    <row r="65" spans="1:9" x14ac:dyDescent="0.25">
      <c r="A65" s="52">
        <f>IF(AND(B65&lt;&gt;"",C65&lt;&gt;"",LEFT(B65,1)&lt;&gt;"#"),MAX($A$2:A64)+1,"")</f>
        <v>29</v>
      </c>
      <c r="B65" s="19" t="s">
        <v>412</v>
      </c>
      <c r="C65" s="7" t="s">
        <v>413</v>
      </c>
      <c r="D65" s="51"/>
      <c r="E65" s="55"/>
      <c r="F65" s="23" t="str">
        <f t="shared" ref="F65" ca="1" si="12">IF(E65&lt;&gt;"",NOW(),"")</f>
        <v/>
      </c>
      <c r="G65" s="70"/>
      <c r="H65" s="75"/>
      <c r="I65" s="67"/>
    </row>
    <row r="66" spans="1:9" x14ac:dyDescent="0.25">
      <c r="A66" s="58"/>
      <c r="B66" s="102" t="str">
        <f>$B$3</f>
        <v>( Add new test case )</v>
      </c>
      <c r="C66" s="105" t="str">
        <f>$C$3</f>
        <v>( Remove previous test result )</v>
      </c>
      <c r="D66" s="184"/>
      <c r="E66" s="244" t="s">
        <v>205</v>
      </c>
      <c r="F66" s="244"/>
      <c r="G66" s="244"/>
      <c r="H66" s="185"/>
      <c r="I66" s="66"/>
    </row>
    <row r="67" spans="1:9" ht="30" x14ac:dyDescent="0.25">
      <c r="A67" s="52">
        <f>IF(AND(B67&lt;&gt;"",C67&lt;&gt;"",LEFT(B67,1)&lt;&gt;"#"),MAX($A$2:A66)+1,"")</f>
        <v>30</v>
      </c>
      <c r="B67" s="19" t="s">
        <v>414</v>
      </c>
      <c r="C67" s="7" t="s">
        <v>415</v>
      </c>
      <c r="D67" s="51"/>
      <c r="E67" s="55"/>
      <c r="F67" s="23"/>
      <c r="G67" s="70"/>
      <c r="H67" s="75"/>
      <c r="I67" s="67"/>
    </row>
    <row r="68" spans="1:9" x14ac:dyDescent="0.25">
      <c r="A68" s="58"/>
      <c r="B68" s="102" t="str">
        <f>$B$3</f>
        <v>( Add new test case )</v>
      </c>
      <c r="C68" s="105" t="str">
        <f>$C$3</f>
        <v>( Remove previous test result )</v>
      </c>
      <c r="D68" s="184"/>
      <c r="E68" s="244" t="s">
        <v>205</v>
      </c>
      <c r="F68" s="244"/>
      <c r="G68" s="244"/>
      <c r="H68" s="185"/>
      <c r="I68" s="66"/>
    </row>
    <row r="69" spans="1:9" ht="30" x14ac:dyDescent="0.25">
      <c r="A69" s="52">
        <f>IF(AND(B69&lt;&gt;"",C69&lt;&gt;"",LEFT(B69,1)&lt;&gt;"#"),MAX($A$2:A68)+1,"")</f>
        <v>31</v>
      </c>
      <c r="B69" s="19" t="s">
        <v>416</v>
      </c>
      <c r="C69" s="7" t="s">
        <v>417</v>
      </c>
      <c r="D69" s="51"/>
      <c r="E69" s="55"/>
      <c r="F69" s="23"/>
      <c r="G69" s="70"/>
      <c r="H69" s="75"/>
      <c r="I69" s="67"/>
    </row>
    <row r="70" spans="1:9" x14ac:dyDescent="0.25">
      <c r="A70" s="58"/>
      <c r="B70" s="102" t="str">
        <f>$B$3</f>
        <v>( Add new test case )</v>
      </c>
      <c r="C70" s="105" t="str">
        <f>$C$3</f>
        <v>( Remove previous test result )</v>
      </c>
      <c r="D70" s="184"/>
      <c r="E70" s="244" t="s">
        <v>205</v>
      </c>
      <c r="F70" s="244"/>
      <c r="G70" s="244"/>
      <c r="H70" s="185"/>
      <c r="I70" s="66"/>
    </row>
    <row r="71" spans="1:9" x14ac:dyDescent="0.25">
      <c r="A71" s="52">
        <f>IF(AND(B71&lt;&gt;"",C71&lt;&gt;"",LEFT(B71,1)&lt;&gt;"#"),MAX($A$2:A70)+1,"")</f>
        <v>32</v>
      </c>
      <c r="B71" s="93" t="s">
        <v>418</v>
      </c>
      <c r="C71" s="94" t="s">
        <v>419</v>
      </c>
      <c r="D71" s="51"/>
      <c r="E71" s="55"/>
      <c r="F71" s="23"/>
      <c r="G71" s="70"/>
      <c r="H71" s="75"/>
      <c r="I71" s="67"/>
    </row>
    <row r="72" spans="1:9" x14ac:dyDescent="0.25">
      <c r="A72" s="58"/>
      <c r="B72" s="102" t="str">
        <f>$B$3</f>
        <v>( Add new test case )</v>
      </c>
      <c r="C72" s="105" t="str">
        <f>$C$3</f>
        <v>( Remove previous test result )</v>
      </c>
      <c r="D72" s="184"/>
      <c r="E72" s="244" t="s">
        <v>205</v>
      </c>
      <c r="F72" s="244"/>
      <c r="G72" s="244"/>
      <c r="H72" s="185"/>
      <c r="I72" s="66"/>
    </row>
    <row r="73" spans="1:9" x14ac:dyDescent="0.25">
      <c r="A73" s="52">
        <f>IF(AND(B73&lt;&gt;"",C73&lt;&gt;"",LEFT(B73,1)&lt;&gt;"#"),MAX($A$2:A72)+1,"")</f>
        <v>33</v>
      </c>
      <c r="B73" s="93" t="s">
        <v>420</v>
      </c>
      <c r="C73" s="94" t="s">
        <v>421</v>
      </c>
      <c r="D73" s="51"/>
      <c r="E73" s="55"/>
      <c r="F73" s="23"/>
      <c r="G73" s="70"/>
      <c r="H73" s="75"/>
      <c r="I73" s="67"/>
    </row>
    <row r="74" spans="1:9" x14ac:dyDescent="0.25">
      <c r="A74" s="58"/>
      <c r="B74" s="102" t="str">
        <f>$B$3</f>
        <v>( Add new test case )</v>
      </c>
      <c r="C74" s="105" t="str">
        <f>$C$3</f>
        <v>( Remove previous test result )</v>
      </c>
      <c r="D74" s="184"/>
      <c r="E74" s="244" t="s">
        <v>205</v>
      </c>
      <c r="F74" s="244"/>
      <c r="G74" s="244"/>
      <c r="H74" s="185"/>
      <c r="I74" s="66"/>
    </row>
    <row r="75" spans="1:9" x14ac:dyDescent="0.25">
      <c r="A75" s="52">
        <f>IF(AND(B75&lt;&gt;"",C75&lt;&gt;"",LEFT(B75,1)&lt;&gt;"#"),MAX($A$2:A74)+1,"")</f>
        <v>34</v>
      </c>
      <c r="B75" s="97" t="s">
        <v>422</v>
      </c>
      <c r="C75" s="98" t="s">
        <v>423</v>
      </c>
      <c r="D75" s="51"/>
      <c r="E75" s="55"/>
      <c r="F75" s="23"/>
      <c r="G75" s="70"/>
      <c r="H75" s="75"/>
      <c r="I75" s="67"/>
    </row>
    <row r="76" spans="1:9" x14ac:dyDescent="0.25">
      <c r="A76" s="58"/>
      <c r="B76" s="102" t="str">
        <f>$B$3</f>
        <v>( Add new test case )</v>
      </c>
      <c r="C76" s="105" t="str">
        <f>$C$3</f>
        <v>( Remove previous test result )</v>
      </c>
      <c r="D76" s="184"/>
      <c r="E76" s="244" t="s">
        <v>205</v>
      </c>
      <c r="F76" s="244"/>
      <c r="G76" s="244"/>
      <c r="H76" s="185"/>
      <c r="I76" s="66"/>
    </row>
    <row r="77" spans="1:9" ht="30" x14ac:dyDescent="0.25">
      <c r="A77" s="52">
        <f>IF(AND(B77&lt;&gt;"",C77&lt;&gt;"",LEFT(B77,1)&lt;&gt;"#"),MAX($A$2:A76)+1,"")</f>
        <v>35</v>
      </c>
      <c r="B77" s="97" t="s">
        <v>424</v>
      </c>
      <c r="C77" s="98" t="s">
        <v>425</v>
      </c>
      <c r="D77" s="51"/>
      <c r="E77" s="55"/>
      <c r="F77" s="23"/>
      <c r="G77" s="70"/>
      <c r="H77" s="75"/>
      <c r="I77" s="67"/>
    </row>
    <row r="78" spans="1:9" x14ac:dyDescent="0.25">
      <c r="A78" s="58"/>
      <c r="B78" s="102" t="str">
        <f>$B$3</f>
        <v>( Add new test case )</v>
      </c>
      <c r="C78" s="105" t="str">
        <f>$C$3</f>
        <v>( Remove previous test result )</v>
      </c>
      <c r="D78" s="184"/>
      <c r="E78" s="244" t="s">
        <v>205</v>
      </c>
      <c r="F78" s="244"/>
      <c r="G78" s="244"/>
      <c r="H78" s="185"/>
      <c r="I78" s="66"/>
    </row>
    <row r="79" spans="1:9" x14ac:dyDescent="0.25">
      <c r="A79" s="52">
        <f>IF(AND(B79&lt;&gt;"",C79&lt;&gt;"",LEFT(B79,1)&lt;&gt;"#"),MAX($A$2:A78)+1,"")</f>
        <v>36</v>
      </c>
      <c r="B79" s="97" t="s">
        <v>426</v>
      </c>
      <c r="C79" s="98" t="s">
        <v>427</v>
      </c>
      <c r="D79" s="51"/>
      <c r="E79" s="55"/>
      <c r="F79" s="23" t="str">
        <f t="shared" ref="F79" ca="1" si="13">IF(E79&lt;&gt;"",NOW(),"")</f>
        <v/>
      </c>
      <c r="G79" s="70"/>
      <c r="H79" s="75"/>
      <c r="I79" s="67"/>
    </row>
    <row r="80" spans="1:9" x14ac:dyDescent="0.25">
      <c r="A80" s="121"/>
      <c r="B80" s="122" t="str">
        <f>$B$3</f>
        <v>( Add new test case )</v>
      </c>
      <c r="C80" s="140" t="str">
        <f>$C$3</f>
        <v>( Remove previous test result )</v>
      </c>
      <c r="D80" s="201"/>
      <c r="E80" s="245" t="s">
        <v>205</v>
      </c>
      <c r="F80" s="245"/>
      <c r="G80" s="245"/>
      <c r="H80" s="202"/>
      <c r="I80" s="83"/>
    </row>
    <row r="81" spans="1:9" ht="15.75" x14ac:dyDescent="0.25">
      <c r="A81" s="124" t="str">
        <f>IF(AND(B81&lt;&gt;"",C81&lt;&gt;"",LEFT(B81,1)&lt;&gt;"#"),MAX(#REF!)+1,"")</f>
        <v/>
      </c>
      <c r="B81" s="150" t="s">
        <v>428</v>
      </c>
      <c r="C81" s="125"/>
      <c r="D81" s="126"/>
      <c r="E81" s="127"/>
      <c r="F81" s="128"/>
      <c r="G81" s="128"/>
      <c r="H81" s="129"/>
      <c r="I81" s="130"/>
    </row>
    <row r="82" spans="1:9" x14ac:dyDescent="0.25">
      <c r="A82" s="52">
        <f>IF(AND(B82&lt;&gt;"",C82&lt;&gt;"",LEFT(B82,1)&lt;&gt;"#"),MAX($A$2:A80)+1,"")</f>
        <v>37</v>
      </c>
      <c r="B82" s="14" t="s">
        <v>430</v>
      </c>
      <c r="C82" s="10" t="s">
        <v>431</v>
      </c>
      <c r="D82" s="51"/>
      <c r="E82" s="56"/>
      <c r="F82" s="26"/>
      <c r="G82" s="69"/>
      <c r="H82" s="74"/>
      <c r="I82" s="65"/>
    </row>
    <row r="83" spans="1:9" x14ac:dyDescent="0.25">
      <c r="A83" s="58"/>
      <c r="B83" s="102" t="str">
        <f>$B$3</f>
        <v>( Add new test case )</v>
      </c>
      <c r="C83" s="105" t="str">
        <f>$C$3</f>
        <v>( Remove previous test result )</v>
      </c>
      <c r="D83" s="184"/>
      <c r="E83" s="244" t="s">
        <v>205</v>
      </c>
      <c r="F83" s="244"/>
      <c r="G83" s="244"/>
      <c r="H83" s="185"/>
      <c r="I83" s="66"/>
    </row>
    <row r="84" spans="1:9" x14ac:dyDescent="0.25">
      <c r="A84" s="52">
        <f>IF(AND(B84&lt;&gt;"",C84&lt;&gt;"",LEFT(B84,1)&lt;&gt;"#"),MAX($A$2:A83)+1,"")</f>
        <v>38</v>
      </c>
      <c r="B84" s="15" t="s">
        <v>432</v>
      </c>
      <c r="C84" s="4" t="s">
        <v>433</v>
      </c>
      <c r="D84" s="51"/>
      <c r="E84" s="55"/>
      <c r="F84" s="23" t="str">
        <f t="shared" ref="F84" ca="1" si="14">IF(E84&lt;&gt;"",NOW(),"")</f>
        <v/>
      </c>
      <c r="G84" s="70"/>
      <c r="H84" s="75"/>
      <c r="I84" s="67"/>
    </row>
    <row r="85" spans="1:9" x14ac:dyDescent="0.25">
      <c r="A85" s="58"/>
      <c r="B85" s="102" t="str">
        <f>$B$3</f>
        <v>( Add new test case )</v>
      </c>
      <c r="C85" s="105" t="str">
        <f>$C$3</f>
        <v>( Remove previous test result )</v>
      </c>
      <c r="D85" s="184"/>
      <c r="E85" s="244" t="s">
        <v>205</v>
      </c>
      <c r="F85" s="244"/>
      <c r="G85" s="244"/>
      <c r="H85" s="185"/>
      <c r="I85" s="66"/>
    </row>
    <row r="86" spans="1:9" x14ac:dyDescent="0.25">
      <c r="A86" s="52">
        <f>IF(AND(B86&lt;&gt;"",C86&lt;&gt;"",LEFT(B86,1)&lt;&gt;"#"),MAX($A$2:A85)+1,"")</f>
        <v>39</v>
      </c>
      <c r="B86" s="15" t="s">
        <v>434</v>
      </c>
      <c r="C86" s="4" t="s">
        <v>435</v>
      </c>
      <c r="D86" s="51"/>
      <c r="E86" s="55"/>
      <c r="F86" s="23" t="str">
        <f t="shared" ref="F86" ca="1" si="15">IF(E86&lt;&gt;"",NOW(),"")</f>
        <v/>
      </c>
      <c r="G86" s="70"/>
      <c r="H86" s="75"/>
      <c r="I86" s="67"/>
    </row>
    <row r="87" spans="1:9" x14ac:dyDescent="0.25">
      <c r="A87" s="58"/>
      <c r="B87" s="102" t="str">
        <f>$B$3</f>
        <v>( Add new test case )</v>
      </c>
      <c r="C87" s="105" t="str">
        <f>$C$3</f>
        <v>( Remove previous test result )</v>
      </c>
      <c r="D87" s="184"/>
      <c r="E87" s="244" t="s">
        <v>205</v>
      </c>
      <c r="F87" s="244"/>
      <c r="G87" s="244"/>
      <c r="H87" s="185"/>
      <c r="I87" s="66"/>
    </row>
    <row r="88" spans="1:9" x14ac:dyDescent="0.25">
      <c r="A88" s="52">
        <f>IF(AND(B88&lt;&gt;"",C88&lt;&gt;"",LEFT(B88,1)&lt;&gt;"#"),MAX($A$2:A87)+1,"")</f>
        <v>40</v>
      </c>
      <c r="B88" s="15" t="s">
        <v>436</v>
      </c>
      <c r="C88" s="4" t="s">
        <v>437</v>
      </c>
      <c r="D88" s="51"/>
      <c r="E88" s="55"/>
      <c r="F88" s="23" t="str">
        <f t="shared" ref="F88" ca="1" si="16">IF(E88&lt;&gt;"",NOW(),"")</f>
        <v/>
      </c>
      <c r="G88" s="70"/>
      <c r="H88" s="75"/>
      <c r="I88" s="67"/>
    </row>
    <row r="89" spans="1:9" x14ac:dyDescent="0.25">
      <c r="A89" s="121"/>
      <c r="B89" s="122" t="str">
        <f>$B$3</f>
        <v>( Add new test case )</v>
      </c>
      <c r="C89" s="140" t="str">
        <f>$C$3</f>
        <v>( Remove previous test result )</v>
      </c>
      <c r="D89" s="201"/>
      <c r="E89" s="245" t="s">
        <v>205</v>
      </c>
      <c r="F89" s="245"/>
      <c r="G89" s="245"/>
      <c r="H89" s="202"/>
      <c r="I89" s="83"/>
    </row>
    <row r="90" spans="1:9" ht="15.75" x14ac:dyDescent="0.25">
      <c r="A90" s="124" t="str">
        <f>IF(AND(B90&lt;&gt;"",C90&lt;&gt;"",LEFT(B90,1)&lt;&gt;"#"),MAX(#REF!)+1,"")</f>
        <v/>
      </c>
      <c r="B90" s="150" t="s">
        <v>429</v>
      </c>
      <c r="C90" s="125"/>
      <c r="D90" s="126"/>
      <c r="E90" s="127"/>
      <c r="F90" s="128"/>
      <c r="G90" s="128"/>
      <c r="H90" s="129"/>
      <c r="I90" s="130"/>
    </row>
    <row r="91" spans="1:9" x14ac:dyDescent="0.25">
      <c r="A91" s="52">
        <f>IF(AND(B91&lt;&gt;"",C91&lt;&gt;"",LEFT(B91,1)&lt;&gt;"#"),MAX($A$2:A89)+1,"")</f>
        <v>41</v>
      </c>
      <c r="B91" s="14" t="s">
        <v>438</v>
      </c>
      <c r="C91" s="10" t="s">
        <v>439</v>
      </c>
      <c r="D91" s="51"/>
      <c r="E91" s="56"/>
      <c r="F91" s="26" t="str">
        <f t="shared" ref="F91" ca="1" si="17">IF(E91&lt;&gt;"",NOW(),"")</f>
        <v/>
      </c>
      <c r="G91" s="69"/>
      <c r="H91" s="74"/>
      <c r="I91" s="65"/>
    </row>
    <row r="92" spans="1:9" x14ac:dyDescent="0.25">
      <c r="A92" s="58"/>
      <c r="B92" s="102" t="str">
        <f>$B$3</f>
        <v>( Add new test case )</v>
      </c>
      <c r="C92" s="105" t="str">
        <f>$C$3</f>
        <v>( Remove previous test result )</v>
      </c>
      <c r="D92" s="184"/>
      <c r="E92" s="244" t="s">
        <v>205</v>
      </c>
      <c r="F92" s="244"/>
      <c r="G92" s="244"/>
      <c r="H92" s="185"/>
      <c r="I92" s="66"/>
    </row>
    <row r="93" spans="1:9" x14ac:dyDescent="0.25">
      <c r="A93" s="52">
        <f>IF(AND(B93&lt;&gt;"",C93&lt;&gt;"",LEFT(B93,1)&lt;&gt;"#"),MAX($A$2:A92)+1,"")</f>
        <v>42</v>
      </c>
      <c r="B93" s="15" t="s">
        <v>440</v>
      </c>
      <c r="C93" s="4" t="s">
        <v>441</v>
      </c>
      <c r="D93" s="51"/>
      <c r="E93" s="55"/>
      <c r="F93" s="23"/>
      <c r="G93" s="70"/>
      <c r="H93" s="75"/>
      <c r="I93" s="67"/>
    </row>
    <row r="94" spans="1:9" x14ac:dyDescent="0.25">
      <c r="A94" s="58"/>
      <c r="B94" s="102" t="str">
        <f>$B$3</f>
        <v>( Add new test case )</v>
      </c>
      <c r="C94" s="105" t="str">
        <f>$C$3</f>
        <v>( Remove previous test result )</v>
      </c>
      <c r="D94" s="184"/>
      <c r="E94" s="244" t="s">
        <v>205</v>
      </c>
      <c r="F94" s="244"/>
      <c r="G94" s="244"/>
      <c r="H94" s="185"/>
      <c r="I94" s="66"/>
    </row>
    <row r="95" spans="1:9" x14ac:dyDescent="0.25">
      <c r="A95" s="52">
        <f>IF(AND(B95&lt;&gt;"",C95&lt;&gt;"",LEFT(B95,1)&lt;&gt;"#"),MAX($A$2:A94)+1,"")</f>
        <v>43</v>
      </c>
      <c r="B95" s="15" t="s">
        <v>442</v>
      </c>
      <c r="C95" s="4" t="s">
        <v>443</v>
      </c>
      <c r="D95" s="51"/>
      <c r="E95" s="55"/>
      <c r="F95" s="23"/>
      <c r="G95" s="70"/>
      <c r="H95" s="75"/>
      <c r="I95" s="67"/>
    </row>
    <row r="96" spans="1:9" x14ac:dyDescent="0.25">
      <c r="A96" s="58"/>
      <c r="B96" s="102" t="str">
        <f>$B$3</f>
        <v>( Add new test case )</v>
      </c>
      <c r="C96" s="105" t="str">
        <f>$C$3</f>
        <v>( Remove previous test result )</v>
      </c>
      <c r="D96" s="184"/>
      <c r="E96" s="244" t="s">
        <v>205</v>
      </c>
      <c r="F96" s="244"/>
      <c r="G96" s="244"/>
      <c r="H96" s="185"/>
      <c r="I96" s="66"/>
    </row>
    <row r="97" spans="1:9" x14ac:dyDescent="0.25">
      <c r="A97" s="52">
        <f>IF(AND(B97&lt;&gt;"",C97&lt;&gt;"",LEFT(B97,1)&lt;&gt;"#"),MAX($A$2:A96)+1,"")</f>
        <v>44</v>
      </c>
      <c r="B97" s="15" t="s">
        <v>444</v>
      </c>
      <c r="C97" s="4" t="s">
        <v>445</v>
      </c>
      <c r="D97" s="51"/>
      <c r="E97" s="55"/>
      <c r="F97" s="23" t="str">
        <f t="shared" ref="F97" ca="1" si="18">IF(E97&lt;&gt;"",NOW(),"")</f>
        <v/>
      </c>
      <c r="G97" s="70"/>
      <c r="H97" s="75"/>
      <c r="I97" s="67"/>
    </row>
    <row r="98" spans="1:9" x14ac:dyDescent="0.25">
      <c r="A98" s="58"/>
      <c r="B98" s="102" t="str">
        <f>$B$3</f>
        <v>( Add new test case )</v>
      </c>
      <c r="C98" s="105" t="str">
        <f>$C$3</f>
        <v>( Remove previous test result )</v>
      </c>
      <c r="D98" s="184"/>
      <c r="E98" s="244" t="s">
        <v>205</v>
      </c>
      <c r="F98" s="244"/>
      <c r="G98" s="244"/>
      <c r="H98" s="185"/>
      <c r="I98" s="66"/>
    </row>
    <row r="99" spans="1:9" x14ac:dyDescent="0.25">
      <c r="A99" s="52">
        <f>IF(AND(B99&lt;&gt;"",C99&lt;&gt;"",LEFT(B99,1)&lt;&gt;"#"),MAX($A$2:A98)+1,"")</f>
        <v>45</v>
      </c>
      <c r="B99" s="15" t="s">
        <v>446</v>
      </c>
      <c r="C99" s="4" t="s">
        <v>447</v>
      </c>
      <c r="D99" s="51"/>
      <c r="E99" s="55"/>
      <c r="F99" s="23" t="str">
        <f t="shared" ref="F99" ca="1" si="19">IF(E99&lt;&gt;"",NOW(),"")</f>
        <v/>
      </c>
      <c r="G99" s="70"/>
      <c r="H99" s="75"/>
      <c r="I99" s="67"/>
    </row>
    <row r="100" spans="1:9" x14ac:dyDescent="0.25">
      <c r="A100" s="58"/>
      <c r="B100" s="102" t="str">
        <f>$B$3</f>
        <v>( Add new test case )</v>
      </c>
      <c r="C100" s="105" t="str">
        <f>$C$3</f>
        <v>( Remove previous test result )</v>
      </c>
      <c r="D100" s="184"/>
      <c r="E100" s="244" t="s">
        <v>205</v>
      </c>
      <c r="F100" s="244"/>
      <c r="G100" s="244"/>
      <c r="H100" s="185"/>
      <c r="I100" s="66"/>
    </row>
    <row r="101" spans="1:9" x14ac:dyDescent="0.25">
      <c r="A101" s="52">
        <f>IF(AND(B101&lt;&gt;"",C101&lt;&gt;"",LEFT(B101,1)&lt;&gt;"#"),MAX($A$2:A100)+1,"")</f>
        <v>46</v>
      </c>
      <c r="B101" s="15" t="s">
        <v>448</v>
      </c>
      <c r="C101" s="4" t="s">
        <v>449</v>
      </c>
      <c r="D101" s="51"/>
      <c r="E101" s="55"/>
      <c r="F101" s="23" t="str">
        <f t="shared" ref="F101" ca="1" si="20">IF(E101&lt;&gt;"",NOW(),"")</f>
        <v/>
      </c>
      <c r="G101" s="70"/>
      <c r="H101" s="75"/>
      <c r="I101" s="67"/>
    </row>
    <row r="102" spans="1:9" x14ac:dyDescent="0.25">
      <c r="A102" s="58"/>
      <c r="B102" s="102" t="str">
        <f>$B$3</f>
        <v>( Add new test case )</v>
      </c>
      <c r="C102" s="105" t="str">
        <f>$C$3</f>
        <v>( Remove previous test result )</v>
      </c>
      <c r="D102" s="184"/>
      <c r="E102" s="244" t="s">
        <v>205</v>
      </c>
      <c r="F102" s="244"/>
      <c r="G102" s="244"/>
      <c r="H102" s="185"/>
      <c r="I102" s="66"/>
    </row>
    <row r="103" spans="1:9" x14ac:dyDescent="0.25">
      <c r="A103" s="52">
        <f>IF(AND(B103&lt;&gt;"",C103&lt;&gt;"",LEFT(B103,1)&lt;&gt;"#"),MAX($A$2:A102)+1,"")</f>
        <v>47</v>
      </c>
      <c r="B103" s="20" t="s">
        <v>450</v>
      </c>
      <c r="C103" s="95" t="s">
        <v>451</v>
      </c>
      <c r="D103" s="51"/>
      <c r="E103" s="55"/>
      <c r="F103" s="23" t="str">
        <f t="shared" ref="F103" ca="1" si="21">IF(E103&lt;&gt;"",NOW(),"")</f>
        <v/>
      </c>
      <c r="G103" s="70"/>
      <c r="H103" s="75"/>
      <c r="I103" s="67"/>
    </row>
    <row r="104" spans="1:9" x14ac:dyDescent="0.25">
      <c r="A104" s="121"/>
      <c r="B104" s="122" t="str">
        <f>$B$3</f>
        <v>( Add new test case )</v>
      </c>
      <c r="C104" s="140" t="str">
        <f>$C$3</f>
        <v>( Remove previous test result )</v>
      </c>
      <c r="D104" s="201"/>
      <c r="E104" s="245" t="s">
        <v>205</v>
      </c>
      <c r="F104" s="245"/>
      <c r="G104" s="245"/>
      <c r="H104" s="202"/>
      <c r="I104" s="83"/>
    </row>
    <row r="105" spans="1:9" ht="15.75" x14ac:dyDescent="0.25">
      <c r="A105" s="124" t="str">
        <f>IF(AND(B105&lt;&gt;"",C105&lt;&gt;"",LEFT(B105,1)&lt;&gt;"#"),MAX(#REF!)+1,"")</f>
        <v/>
      </c>
      <c r="B105" s="150" t="s">
        <v>452</v>
      </c>
      <c r="C105" s="125"/>
      <c r="D105" s="126"/>
      <c r="E105" s="127"/>
      <c r="F105" s="128"/>
      <c r="G105" s="128"/>
      <c r="H105" s="129"/>
      <c r="I105" s="130"/>
    </row>
    <row r="106" spans="1:9" x14ac:dyDescent="0.25">
      <c r="A106" s="52">
        <f>IF(AND(B106&lt;&gt;"",C106&lt;&gt;"",LEFT(B106,1)&lt;&gt;"#"),MAX($A$2:A104)+1,"")</f>
        <v>48</v>
      </c>
      <c r="B106" s="14" t="s">
        <v>455</v>
      </c>
      <c r="C106" s="10" t="s">
        <v>456</v>
      </c>
      <c r="D106" s="51"/>
      <c r="E106" s="56"/>
      <c r="F106" s="26"/>
      <c r="G106" s="69"/>
      <c r="H106" s="74"/>
      <c r="I106" s="65"/>
    </row>
    <row r="107" spans="1:9" x14ac:dyDescent="0.25">
      <c r="A107" s="58"/>
      <c r="B107" s="102" t="str">
        <f>$B$3</f>
        <v>( Add new test case )</v>
      </c>
      <c r="C107" s="105" t="str">
        <f>$C$3</f>
        <v>( Remove previous test result )</v>
      </c>
      <c r="D107" s="184"/>
      <c r="E107" s="244" t="s">
        <v>205</v>
      </c>
      <c r="F107" s="244"/>
      <c r="G107" s="244"/>
      <c r="H107" s="185"/>
      <c r="I107" s="66"/>
    </row>
    <row r="108" spans="1:9" x14ac:dyDescent="0.25">
      <c r="A108" s="52">
        <f>IF(AND(B108&lt;&gt;"",C108&lt;&gt;"",LEFT(B108,1)&lt;&gt;"#"),MAX($A$2:A107)+1,"")</f>
        <v>49</v>
      </c>
      <c r="B108" s="15" t="s">
        <v>457</v>
      </c>
      <c r="C108" s="4" t="s">
        <v>458</v>
      </c>
      <c r="D108" s="51"/>
      <c r="E108" s="55"/>
      <c r="F108" s="23"/>
      <c r="G108" s="70"/>
      <c r="H108" s="75"/>
      <c r="I108" s="67"/>
    </row>
    <row r="109" spans="1:9" x14ac:dyDescent="0.25">
      <c r="A109" s="58"/>
      <c r="B109" s="102" t="str">
        <f>$B$3</f>
        <v>( Add new test case )</v>
      </c>
      <c r="C109" s="105" t="str">
        <f>$C$3</f>
        <v>( Remove previous test result )</v>
      </c>
      <c r="D109" s="184"/>
      <c r="E109" s="244" t="s">
        <v>205</v>
      </c>
      <c r="F109" s="244"/>
      <c r="G109" s="244"/>
      <c r="H109" s="185"/>
      <c r="I109" s="66"/>
    </row>
    <row r="110" spans="1:9" x14ac:dyDescent="0.25">
      <c r="A110" s="52">
        <f>IF(AND(B110&lt;&gt;"",C110&lt;&gt;"",LEFT(B110,1)&lt;&gt;"#"),MAX($A$2:A109)+1,"")</f>
        <v>50</v>
      </c>
      <c r="B110" s="15" t="s">
        <v>459</v>
      </c>
      <c r="C110" s="4" t="s">
        <v>460</v>
      </c>
      <c r="D110" s="51"/>
      <c r="E110" s="55"/>
      <c r="F110" s="23" t="str">
        <f t="shared" ref="F110" ca="1" si="22">IF(E110&lt;&gt;"",NOW(),"")</f>
        <v/>
      </c>
      <c r="G110" s="70"/>
      <c r="H110" s="75"/>
      <c r="I110" s="67"/>
    </row>
    <row r="111" spans="1:9" x14ac:dyDescent="0.25">
      <c r="A111" s="121"/>
      <c r="B111" s="122" t="str">
        <f>$B$3</f>
        <v>( Add new test case )</v>
      </c>
      <c r="C111" s="140" t="str">
        <f>$C$3</f>
        <v>( Remove previous test result )</v>
      </c>
      <c r="D111" s="201"/>
      <c r="E111" s="245" t="s">
        <v>205</v>
      </c>
      <c r="F111" s="245"/>
      <c r="G111" s="245"/>
      <c r="H111" s="202"/>
      <c r="I111" s="83"/>
    </row>
    <row r="112" spans="1:9" ht="15.75" x14ac:dyDescent="0.25">
      <c r="A112" s="124" t="str">
        <f>IF(AND(B112&lt;&gt;"",C112&lt;&gt;"",LEFT(B112,1)&lt;&gt;"#"),MAX(#REF!)+1,"")</f>
        <v/>
      </c>
      <c r="B112" s="150" t="s">
        <v>453</v>
      </c>
      <c r="C112" s="125"/>
      <c r="D112" s="126"/>
      <c r="E112" s="127"/>
      <c r="F112" s="128"/>
      <c r="G112" s="128"/>
      <c r="H112" s="129"/>
      <c r="I112" s="130"/>
    </row>
    <row r="113" spans="1:9" ht="30" x14ac:dyDescent="0.25">
      <c r="A113" s="52">
        <f>IF(AND(B113&lt;&gt;"",C113&lt;&gt;"",LEFT(B113,1)&lt;&gt;"#"),MAX($A$2:A111)+1,"")</f>
        <v>51</v>
      </c>
      <c r="B113" s="14" t="s">
        <v>351</v>
      </c>
      <c r="C113" s="10" t="s">
        <v>352</v>
      </c>
      <c r="D113" s="51"/>
      <c r="E113" s="56"/>
      <c r="F113" s="26" t="str">
        <f t="shared" ref="F113" ca="1" si="23">IF(E113&lt;&gt;"",NOW(),"")</f>
        <v/>
      </c>
      <c r="G113" s="69"/>
      <c r="H113" s="74"/>
      <c r="I113" s="65"/>
    </row>
    <row r="114" spans="1:9" x14ac:dyDescent="0.25">
      <c r="A114" s="58"/>
      <c r="B114" s="102" t="str">
        <f>$B$3</f>
        <v>( Add new test case )</v>
      </c>
      <c r="C114" s="105" t="str">
        <f>$C$3</f>
        <v>( Remove previous test result )</v>
      </c>
      <c r="D114" s="100"/>
      <c r="E114" s="244" t="s">
        <v>205</v>
      </c>
      <c r="F114" s="244"/>
      <c r="G114" s="244"/>
      <c r="H114" s="185"/>
      <c r="I114" s="66"/>
    </row>
    <row r="115" spans="1:9" x14ac:dyDescent="0.25">
      <c r="A115" s="52">
        <f>IF(AND(B115&lt;&gt;"",C115&lt;&gt;"",LEFT(B115,1)&lt;&gt;"#"),MAX($A$2:A114)+1,"")</f>
        <v>52</v>
      </c>
      <c r="B115" s="14" t="s">
        <v>353</v>
      </c>
      <c r="C115" s="22" t="s">
        <v>354</v>
      </c>
      <c r="D115" s="153"/>
      <c r="E115" s="55"/>
      <c r="F115" s="23" t="str">
        <f t="shared" ref="F115" ca="1" si="24">IF(E115&lt;&gt;"",NOW(),"")</f>
        <v/>
      </c>
      <c r="G115" s="70"/>
      <c r="H115" s="75"/>
      <c r="I115" s="67"/>
    </row>
    <row r="116" spans="1:9" x14ac:dyDescent="0.25">
      <c r="A116" s="121"/>
      <c r="B116" s="122" t="str">
        <f>$B$3</f>
        <v>( Add new test case )</v>
      </c>
      <c r="C116" s="140" t="str">
        <f>$C$3</f>
        <v>( Remove previous test result )</v>
      </c>
      <c r="D116" s="100"/>
      <c r="E116" s="245" t="s">
        <v>205</v>
      </c>
      <c r="F116" s="245"/>
      <c r="G116" s="245"/>
      <c r="H116" s="202"/>
      <c r="I116" s="83"/>
    </row>
    <row r="117" spans="1:9" ht="15.75" x14ac:dyDescent="0.25">
      <c r="A117" s="124" t="str">
        <f>IF(AND(B117&lt;&gt;"",C117&lt;&gt;"",LEFT(B117,1)&lt;&gt;"#"),MAX(#REF!)+1,"")</f>
        <v/>
      </c>
      <c r="B117" s="150" t="s">
        <v>454</v>
      </c>
      <c r="C117" s="125"/>
      <c r="D117" s="126"/>
      <c r="E117" s="127"/>
      <c r="F117" s="128"/>
      <c r="G117" s="128"/>
      <c r="H117" s="129"/>
      <c r="I117" s="130"/>
    </row>
    <row r="118" spans="1:9" x14ac:dyDescent="0.25">
      <c r="A118" s="52">
        <f>IF(AND(B118&lt;&gt;"",C118&lt;&gt;"",LEFT(B118,1)&lt;&gt;"#"),MAX($A$2:A116)+1,"")</f>
        <v>53</v>
      </c>
      <c r="B118" s="14" t="s">
        <v>461</v>
      </c>
      <c r="C118" s="10" t="s">
        <v>462</v>
      </c>
      <c r="D118" s="51"/>
      <c r="E118" s="56"/>
      <c r="F118" s="26" t="str">
        <f t="shared" ref="F118" ca="1" si="25">IF(E118&lt;&gt;"",NOW(),"")</f>
        <v/>
      </c>
      <c r="G118" s="69"/>
      <c r="H118" s="74"/>
      <c r="I118" s="65"/>
    </row>
    <row r="119" spans="1:9" x14ac:dyDescent="0.25">
      <c r="A119" s="58"/>
      <c r="B119" s="102" t="str">
        <f>$B$3</f>
        <v>( Add new test case )</v>
      </c>
      <c r="C119" s="105" t="str">
        <f>$C$3</f>
        <v>( Remove previous test result )</v>
      </c>
      <c r="D119" s="184"/>
      <c r="E119" s="244" t="s">
        <v>205</v>
      </c>
      <c r="F119" s="244"/>
      <c r="G119" s="244"/>
      <c r="H119" s="185"/>
      <c r="I119" s="66"/>
    </row>
    <row r="120" spans="1:9" x14ac:dyDescent="0.25">
      <c r="A120" s="52">
        <f>IF(AND(B120&lt;&gt;"",C120&lt;&gt;"",LEFT(B120,1)&lt;&gt;"#"),MAX($A$2:A119)+1,"")</f>
        <v>54</v>
      </c>
      <c r="B120" s="14" t="s">
        <v>463</v>
      </c>
      <c r="C120" s="10" t="s">
        <v>464</v>
      </c>
      <c r="D120" s="51"/>
      <c r="E120" s="55"/>
      <c r="F120" s="23"/>
      <c r="G120" s="70"/>
      <c r="H120" s="75"/>
      <c r="I120" s="67"/>
    </row>
    <row r="121" spans="1:9" x14ac:dyDescent="0.25">
      <c r="A121" s="58"/>
      <c r="B121" s="102" t="str">
        <f>$B$3</f>
        <v>( Add new test case )</v>
      </c>
      <c r="C121" s="105" t="str">
        <f>$C$3</f>
        <v>( Remove previous test result )</v>
      </c>
      <c r="D121" s="184"/>
      <c r="E121" s="244" t="s">
        <v>205</v>
      </c>
      <c r="F121" s="244"/>
      <c r="G121" s="244"/>
      <c r="H121" s="185"/>
      <c r="I121" s="66"/>
    </row>
    <row r="122" spans="1:9" x14ac:dyDescent="0.25">
      <c r="A122" s="52">
        <f>IF(AND(B122&lt;&gt;"",C122&lt;&gt;"",LEFT(B122,1)&lt;&gt;"#"),MAX($A$2:A121)+1,"")</f>
        <v>55</v>
      </c>
      <c r="B122" s="15" t="s">
        <v>465</v>
      </c>
      <c r="C122" s="4" t="s">
        <v>465</v>
      </c>
      <c r="D122" s="51"/>
      <c r="E122" s="55"/>
      <c r="F122" s="23"/>
      <c r="G122" s="70"/>
      <c r="H122" s="75"/>
      <c r="I122" s="67"/>
    </row>
    <row r="123" spans="1:9" x14ac:dyDescent="0.25">
      <c r="A123" s="58"/>
      <c r="B123" s="102" t="str">
        <f>$B$3</f>
        <v>( Add new test case )</v>
      </c>
      <c r="C123" s="105" t="str">
        <f>$C$3</f>
        <v>( Remove previous test result )</v>
      </c>
      <c r="D123" s="184"/>
      <c r="E123" s="244" t="s">
        <v>205</v>
      </c>
      <c r="F123" s="244"/>
      <c r="G123" s="244"/>
      <c r="H123" s="185"/>
      <c r="I123" s="66"/>
    </row>
    <row r="124" spans="1:9" x14ac:dyDescent="0.25">
      <c r="A124" s="52">
        <f>IF(AND(B124&lt;&gt;"",C124&lt;&gt;"",LEFT(B124,1)&lt;&gt;"#"),MAX($A$2:A123)+1,"")</f>
        <v>56</v>
      </c>
      <c r="B124" s="15" t="s">
        <v>466</v>
      </c>
      <c r="C124" s="4" t="s">
        <v>466</v>
      </c>
      <c r="D124" s="51"/>
      <c r="E124" s="55"/>
      <c r="F124" s="23" t="str">
        <f t="shared" ref="F124" ca="1" si="26">IF(E124&lt;&gt;"",NOW(),"")</f>
        <v/>
      </c>
      <c r="G124" s="70"/>
      <c r="H124" s="75"/>
      <c r="I124" s="67"/>
    </row>
    <row r="125" spans="1:9" x14ac:dyDescent="0.25">
      <c r="A125" s="121"/>
      <c r="B125" s="122" t="str">
        <f>$B$3</f>
        <v>( Add new test case )</v>
      </c>
      <c r="C125" s="140" t="str">
        <f>$C$3</f>
        <v>( Remove previous test result )</v>
      </c>
      <c r="D125" s="201"/>
      <c r="E125" s="245" t="s">
        <v>205</v>
      </c>
      <c r="F125" s="245"/>
      <c r="G125" s="245"/>
      <c r="H125" s="202"/>
      <c r="I125" s="83"/>
    </row>
    <row r="126" spans="1:9" ht="15.75" x14ac:dyDescent="0.25">
      <c r="A126" s="124" t="str">
        <f>IF(AND(B126&lt;&gt;"",C126&lt;&gt;"",LEFT(B126,1)&lt;&gt;"#"),MAX($A$2:A26)+1,"")</f>
        <v/>
      </c>
      <c r="B126" s="151" t="s">
        <v>474</v>
      </c>
      <c r="C126" s="125"/>
      <c r="D126" s="126"/>
      <c r="E126" s="127"/>
      <c r="F126" s="128"/>
      <c r="G126" s="128"/>
      <c r="H126" s="129"/>
      <c r="I126" s="130"/>
    </row>
    <row r="127" spans="1:9" ht="30" x14ac:dyDescent="0.25">
      <c r="A127" s="53">
        <f>IF(AND(B127&lt;&gt;"",C127&lt;&gt;"",LEFT(B127,1)&lt;&gt;"#"),MAX($A$2:A126)+1,"")</f>
        <v>57</v>
      </c>
      <c r="B127" s="14" t="s">
        <v>467</v>
      </c>
      <c r="C127" s="10" t="s">
        <v>468</v>
      </c>
      <c r="D127" s="51"/>
      <c r="E127" s="56"/>
      <c r="F127" s="26" t="str">
        <f t="shared" ref="F127" ca="1" si="27">IF(E127&lt;&gt;"",NOW(),"")</f>
        <v/>
      </c>
      <c r="G127" s="69"/>
      <c r="H127" s="74"/>
      <c r="I127" s="68"/>
    </row>
    <row r="128" spans="1:9" x14ac:dyDescent="0.25">
      <c r="A128" s="58"/>
      <c r="B128" s="102" t="str">
        <f>$B$3</f>
        <v>( Add new test case )</v>
      </c>
      <c r="C128" s="105" t="str">
        <f>$C$3</f>
        <v>( Remove previous test result )</v>
      </c>
      <c r="D128" s="184"/>
      <c r="E128" s="244" t="s">
        <v>205</v>
      </c>
      <c r="F128" s="244"/>
      <c r="G128" s="244"/>
      <c r="H128" s="185"/>
      <c r="I128" s="66"/>
    </row>
    <row r="129" spans="1:9" x14ac:dyDescent="0.25">
      <c r="A129" s="53">
        <f>IF(AND(B129&lt;&gt;"",C129&lt;&gt;"",LEFT(B129,1)&lt;&gt;"#"),MAX($A$2:A128)+1,"")</f>
        <v>58</v>
      </c>
      <c r="B129" s="15" t="s">
        <v>469</v>
      </c>
      <c r="C129" s="4" t="s">
        <v>470</v>
      </c>
      <c r="D129" s="51"/>
      <c r="E129" s="56"/>
      <c r="F129" s="26"/>
      <c r="G129" s="69"/>
      <c r="H129" s="74"/>
      <c r="I129" s="68"/>
    </row>
    <row r="130" spans="1:9" x14ac:dyDescent="0.25">
      <c r="A130" s="121"/>
      <c r="B130" s="122" t="str">
        <f>$B$3</f>
        <v>( Add new test case )</v>
      </c>
      <c r="C130" s="140" t="str">
        <f>$C$3</f>
        <v>( Remove previous test result )</v>
      </c>
      <c r="D130" s="100"/>
      <c r="E130" s="245" t="s">
        <v>205</v>
      </c>
      <c r="F130" s="245"/>
      <c r="G130" s="245"/>
      <c r="H130" s="202"/>
      <c r="I130" s="83"/>
    </row>
    <row r="131" spans="1:9" ht="15.75" x14ac:dyDescent="0.25">
      <c r="A131" s="124" t="str">
        <f>IF(AND(B131&lt;&gt;"",C131&lt;&gt;"",LEFT(B131,1)&lt;&gt;"#"),MAX($A$2:A128)+1,"")</f>
        <v/>
      </c>
      <c r="B131" s="150" t="s">
        <v>69</v>
      </c>
      <c r="C131" s="125"/>
      <c r="D131" s="126"/>
      <c r="E131" s="127"/>
      <c r="F131" s="128"/>
      <c r="G131" s="128"/>
      <c r="H131" s="129"/>
      <c r="I131" s="130"/>
    </row>
    <row r="132" spans="1:9" ht="30" x14ac:dyDescent="0.25">
      <c r="A132" s="53" t="str">
        <f>IF(AND(B132&lt;&gt;"",C132&lt;&gt;"",LEFT(B132,1)&lt;&gt;"#"),MAX($A$2:A131)+1,"")</f>
        <v/>
      </c>
      <c r="B132" s="14" t="s">
        <v>65</v>
      </c>
      <c r="C132" s="14" t="s">
        <v>32</v>
      </c>
      <c r="D132" s="51"/>
      <c r="E132" s="56"/>
      <c r="F132" s="26"/>
      <c r="G132" s="69"/>
      <c r="H132" s="74"/>
      <c r="I132" s="68"/>
    </row>
    <row r="133" spans="1:9" x14ac:dyDescent="0.25">
      <c r="A133" s="58"/>
      <c r="B133" s="102" t="str">
        <f>$B$3</f>
        <v>( Add new test case )</v>
      </c>
      <c r="C133" s="105" t="str">
        <f>$C$3</f>
        <v>( Remove previous test result )</v>
      </c>
      <c r="D133" s="184"/>
      <c r="E133" s="244" t="s">
        <v>205</v>
      </c>
      <c r="F133" s="244"/>
      <c r="G133" s="244"/>
      <c r="H133" s="185"/>
      <c r="I133" s="66"/>
    </row>
  </sheetData>
  <sheetProtection algorithmName="SHA-512" hashValue="eN0sU21qs8uEzMQL13Wv7BRMBm6nZdY5ipntcUoR/4ZMtmwbml4tf+63//qj0ReQEAgpkXZoGLIe7ClHnSRjRA==" saltValue="Cn2weqxLD2dxpywPVJCNWA==" spinCount="100000" sheet="1" objects="1" scenarios="1" selectLockedCells="1" sort="0" autoFilter="0"/>
  <protectedRanges>
    <protectedRange password="DDDF" sqref="A1:XFD1 A3:XFD1048576 B2:XFD2" name="clss"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14" priority="16" stopIfTrue="1">
      <formula>LEFT($D5,1)="W"</formula>
    </cfRule>
  </conditionalFormatting>
  <conditionalFormatting sqref="D132 D127">
    <cfRule type="expression" dxfId="13" priority="15" stopIfTrue="1">
      <formula>LEFT($D127,1)="W"</formula>
    </cfRule>
  </conditionalFormatting>
  <conditionalFormatting sqref="D27 D25 D23 D21 D19 D17 D15 D13 D11 D9">
    <cfRule type="expression" dxfId="12" priority="13" stopIfTrue="1">
      <formula>LEFT($D9,1)="W"</formula>
    </cfRule>
  </conditionalFormatting>
  <conditionalFormatting sqref="D7">
    <cfRule type="expression" dxfId="11" priority="14" stopIfTrue="1">
      <formula>LEFT($D7,1)="W"</formula>
    </cfRule>
  </conditionalFormatting>
  <conditionalFormatting sqref="D40 D38 D36 D34 D32 D29">
    <cfRule type="expression" dxfId="10" priority="12" stopIfTrue="1">
      <formula>LEFT($D29,1)="W"</formula>
    </cfRule>
  </conditionalFormatting>
  <conditionalFormatting sqref="D55 D53 D51 D49 D44 D42">
    <cfRule type="expression" dxfId="9" priority="11" stopIfTrue="1">
      <formula>LEFT($D42,1)="W"</formula>
    </cfRule>
  </conditionalFormatting>
  <conditionalFormatting sqref="D67 D65 D63 D61 D59 D57">
    <cfRule type="expression" dxfId="8" priority="10" stopIfTrue="1">
      <formula>LEFT($D57,1)="W"</formula>
    </cfRule>
  </conditionalFormatting>
  <conditionalFormatting sqref="D69">
    <cfRule type="expression" dxfId="7" priority="9" stopIfTrue="1">
      <formula>LEFT($D69,1)="W"</formula>
    </cfRule>
  </conditionalFormatting>
  <conditionalFormatting sqref="D93 D91 D88 D86 D84 D82 D79 D77 D75 D73">
    <cfRule type="expression" dxfId="6" priority="7" stopIfTrue="1">
      <formula>LEFT($D73,1)="W"</formula>
    </cfRule>
  </conditionalFormatting>
  <conditionalFormatting sqref="D71">
    <cfRule type="expression" dxfId="5" priority="8" stopIfTrue="1">
      <formula>LEFT($D71,1)="W"</formula>
    </cfRule>
  </conditionalFormatting>
  <conditionalFormatting sqref="D106 D103 D101 D99 D97 D95">
    <cfRule type="expression" dxfId="4" priority="6" stopIfTrue="1">
      <formula>LEFT($D95,1)="W"</formula>
    </cfRule>
  </conditionalFormatting>
  <conditionalFormatting sqref="D120 D118 D115 D113 D110 D108">
    <cfRule type="expression" dxfId="3" priority="5" stopIfTrue="1">
      <formula>LEFT($D108,1)="W"</formula>
    </cfRule>
  </conditionalFormatting>
  <conditionalFormatting sqref="D124 D122">
    <cfRule type="expression" dxfId="2" priority="4" stopIfTrue="1">
      <formula>LEFT($D122,1)="W"</formula>
    </cfRule>
  </conditionalFormatting>
  <conditionalFormatting sqref="D46">
    <cfRule type="expression" dxfId="1" priority="3" stopIfTrue="1">
      <formula>LEFT($D46,1)="W"</formula>
    </cfRule>
  </conditionalFormatting>
  <conditionalFormatting sqref="D129">
    <cfRule type="expression" dxfId="0" priority="2" stopIfTrue="1">
      <formula>LEFT($D129,1)="W"</formula>
    </cfRule>
  </conditionalFormatting>
  <dataValidations count="3">
    <dataValidation type="list" allowBlank="1" showInputMessage="1" showErrorMessage="1" sqref="E127 E9 E11 E13 E15 E19 E21 E23 E25 E132 E17 E27 E5 E7 E32 E34 E36 E38 E29 E40 E44 E49 E51 E53 E42 E55 E59 E61 E63 E65 E57 E67 E73 E75 E77 E79 E84 E86 E88 E91 E82 E93 E69 E71 E97 E99 E101 E103 E95 E106 E110 E113 E115 E118 E108 E120 E124 E122 E46 E129">
      <formula1>ValidStatus</formula1>
    </dataValidation>
    <dataValidation type="list" allowBlank="1" showInputMessage="1" showErrorMessage="1" sqref="G127:H127 G132:H132 G21:H21 G25:H25 G23:H23 G9 G11 G13 G15 G19:H19 G17 G27:H27 G5 G7 G34:H34 G38:H38 G36:H36 G32:H32 G29 G40:H40 G49:H49 G53:H53 G51:H51 G44:H44 G42 G55:H55 G61:H61 G65:H65 G63:H63 G59:H59 G57 G67:H67 G86:H86 G91:H91 G88:H88 G73 G75 G77 G79 G84:H84 G82 G93:H93 G69 G71 G99:H99 G103:H103 G101:H101 G97:H97 G95 G106:H106 G113:H113 G118:H118 G115:H115 G110:H110 G108 G120:H120 G124:H124 G122 G46:H46 G129:H129">
      <formula1>ValidPhases</formula1>
    </dataValidation>
    <dataValidation type="list" allowBlank="1" showInputMessage="1" showErrorMessage="1" sqref="H9 H11 H13 H15 H17 H5 H7 H29 H42 H57 H73 H75 H77 H79 H82 H69 H71 H95 H108 H122">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6"/>
  <sheetViews>
    <sheetView showGridLines="0" workbookViewId="0">
      <selection activeCell="B16" sqref="B16"/>
    </sheetView>
  </sheetViews>
  <sheetFormatPr defaultRowHeight="15" x14ac:dyDescent="0.25"/>
  <cols>
    <col min="2" max="2" width="18.85546875" style="28" bestFit="1" customWidth="1"/>
    <col min="3" max="3" width="18.85546875" style="29" bestFit="1" customWidth="1"/>
    <col min="4" max="4" width="10.140625" style="13" customWidth="1"/>
    <col min="5" max="8" width="5.5703125" style="13" hidden="1" customWidth="1"/>
    <col min="9" max="9" width="10.7109375" style="13" hidden="1" customWidth="1"/>
    <col min="10" max="10" width="5.140625" style="13" hidden="1" customWidth="1"/>
    <col min="11" max="11" width="10.42578125" style="13" hidden="1" customWidth="1"/>
  </cols>
  <sheetData>
    <row r="1" spans="1:22" s="60" customFormat="1" ht="39.950000000000003" customHeight="1" x14ac:dyDescent="0.35">
      <c r="A1" s="227"/>
      <c r="B1" s="238" t="str">
        <f ca="1">MID(CELL("filename",A1),FIND("]",CELL("filename",A1))+1,255)</f>
        <v>TimeTracking</v>
      </c>
      <c r="C1" s="233"/>
      <c r="D1" s="239" t="str">
        <f>ProjectSummary!$D$1</f>
        <v xml:space="preserve"> -  /</v>
      </c>
      <c r="E1" s="234"/>
      <c r="F1" s="234"/>
      <c r="G1" s="234"/>
      <c r="H1" s="234"/>
      <c r="I1" s="234"/>
      <c r="J1" s="234"/>
      <c r="K1" s="234"/>
      <c r="L1" s="234"/>
      <c r="M1" s="234"/>
      <c r="N1" s="234"/>
      <c r="O1" s="234"/>
      <c r="P1" s="234"/>
      <c r="Q1" s="234"/>
      <c r="R1" s="234"/>
      <c r="S1" s="234"/>
      <c r="T1" s="234"/>
      <c r="U1" s="234"/>
      <c r="V1" s="234"/>
    </row>
    <row r="2" spans="1:22" ht="23.25" x14ac:dyDescent="0.25">
      <c r="B2" s="50"/>
    </row>
    <row r="4" spans="1:22" x14ac:dyDescent="0.25">
      <c r="B4" s="30"/>
      <c r="C4" s="31"/>
      <c r="D4" s="43"/>
      <c r="E4" s="32" t="s">
        <v>80</v>
      </c>
      <c r="F4" s="33" t="s">
        <v>81</v>
      </c>
      <c r="G4" s="33" t="s">
        <v>82</v>
      </c>
      <c r="H4" s="33" t="s">
        <v>99</v>
      </c>
      <c r="I4" s="33" t="s">
        <v>74</v>
      </c>
      <c r="J4" s="34" t="s">
        <v>75</v>
      </c>
      <c r="K4" s="34" t="s">
        <v>119</v>
      </c>
    </row>
    <row r="5" spans="1:22" s="3" customFormat="1" ht="45" x14ac:dyDescent="0.25">
      <c r="B5" s="36" t="s">
        <v>78</v>
      </c>
      <c r="C5" s="37" t="s">
        <v>79</v>
      </c>
      <c r="D5" s="44" t="s">
        <v>83</v>
      </c>
      <c r="E5" s="41">
        <v>0</v>
      </c>
      <c r="F5" s="41">
        <v>0</v>
      </c>
      <c r="G5" s="41">
        <v>0</v>
      </c>
      <c r="H5" s="41">
        <v>0</v>
      </c>
      <c r="I5" s="38">
        <f>SUM(E5:H5)</f>
        <v>0</v>
      </c>
      <c r="J5" s="59">
        <v>0</v>
      </c>
      <c r="K5" s="39">
        <f>J5-I5</f>
        <v>0</v>
      </c>
      <c r="N5" s="35"/>
    </row>
    <row r="6" spans="1:22" s="3" customFormat="1" ht="15" hidden="1" customHeight="1" x14ac:dyDescent="0.25">
      <c r="B6" s="241">
        <v>42648.691388888888</v>
      </c>
      <c r="C6" s="242">
        <v>42648.691388888888</v>
      </c>
      <c r="D6" s="46">
        <v>0</v>
      </c>
      <c r="E6" s="45">
        <v>0</v>
      </c>
      <c r="F6" s="41">
        <v>0</v>
      </c>
      <c r="G6" s="41">
        <v>0</v>
      </c>
      <c r="H6" s="41">
        <v>0</v>
      </c>
      <c r="I6" s="38">
        <v>-1</v>
      </c>
      <c r="J6" s="59">
        <v>0</v>
      </c>
      <c r="K6" s="39">
        <f>J6-I6</f>
        <v>1</v>
      </c>
      <c r="N6" s="35"/>
    </row>
  </sheetData>
  <sheetProtection algorithmName="SHA-512" hashValue="z1j6FRL9NJFvTSYAZDZguDY302DWWgasl8CI16cDsdd9vmdl5Dt2ltDgD/GZvHAqtUHUdRS8teTFWi5RxygwJA==" saltValue="40u3GnvA++gZIORr9AY7AQ==" spinCount="100000" sheet="1" objects="1" scenarios="1" selectLockedCells="1" sort="0" autoFilter="0"/>
  <protectedRanges>
    <protectedRange password="DDDF" sqref="A1:XFD1048575" name="timetracking" securityDescriptor="O:WDG:WDD:(A;;CC;;;S-1-5-21-1065746463-197919211-1947940980-1133)(A;;CC;;;S-1-5-21-1065746463-197919211-1947940980-1272)(A;;CC;;;S-1-5-21-1065746463-197919211-1947940980-1303)(A;;CC;;;S-1-5-21-1065746463-197919211-1947940980-1127)"/>
  </protectedRanges>
  <pageMargins left="0.7" right="0.7" top="0.75" bottom="0.75" header="0.3" footer="0.3"/>
  <pageSetup orientation="portrait" r:id="rId1"/>
  <drawing r:id="rId2"/>
  <legacyDrawing r:id="rId3"/>
  <controls>
    <mc:AlternateContent xmlns:mc="http://schemas.openxmlformats.org/markup-compatibility/2006">
      <mc:Choice Requires="x14">
        <control shapeId="6153" r:id="rId4" name="ResetTimeTrackingSheet">
          <controlPr autoLine="0" autoPict="0" r:id="rId5">
            <anchor moveWithCells="1">
              <from>
                <xdr:col>0</xdr:col>
                <xdr:colOff>600075</xdr:colOff>
                <xdr:row>1</xdr:row>
                <xdr:rowOff>0</xdr:rowOff>
              </from>
              <to>
                <xdr:col>11</xdr:col>
                <xdr:colOff>9525</xdr:colOff>
                <xdr:row>2</xdr:row>
                <xdr:rowOff>9525</xdr:rowOff>
              </to>
            </anchor>
          </controlPr>
        </control>
      </mc:Choice>
      <mc:Fallback>
        <control shapeId="6153" r:id="rId4" name="ResetTimeTrackingSheet"/>
      </mc:Fallback>
    </mc:AlternateContent>
    <mc:AlternateContent xmlns:mc="http://schemas.openxmlformats.org/markup-compatibility/2006">
      <mc:Choice Requires="x14">
        <control shapeId="6152" r:id="rId6" name="StartStopTask">
          <controlPr autoLine="0" autoPict="0" altText="Start/Stop Text" r:id="rId7">
            <anchor moveWithCells="1">
              <from>
                <xdr:col>0</xdr:col>
                <xdr:colOff>590550</xdr:colOff>
                <xdr:row>2</xdr:row>
                <xdr:rowOff>0</xdr:rowOff>
              </from>
              <to>
                <xdr:col>4</xdr:col>
                <xdr:colOff>0</xdr:colOff>
                <xdr:row>4</xdr:row>
                <xdr:rowOff>38100</xdr:rowOff>
              </to>
            </anchor>
          </controlPr>
        </control>
      </mc:Choice>
      <mc:Fallback>
        <control shapeId="6152" r:id="rId6" name="StartStopTask"/>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L64"/>
  <sheetViews>
    <sheetView showGridLines="0" workbookViewId="0">
      <selection activeCell="B10" sqref="B10"/>
    </sheetView>
  </sheetViews>
  <sheetFormatPr defaultRowHeight="15" x14ac:dyDescent="0.25"/>
  <cols>
    <col min="2" max="2" width="20.42578125" style="9" bestFit="1" customWidth="1"/>
    <col min="4" max="4" width="20.7109375" customWidth="1"/>
    <col min="6" max="6" width="16.7109375" customWidth="1"/>
    <col min="8" max="8" width="19.42578125" customWidth="1"/>
  </cols>
  <sheetData>
    <row r="2" spans="2:12" x14ac:dyDescent="0.25">
      <c r="B2" s="47" t="s">
        <v>70</v>
      </c>
    </row>
    <row r="3" spans="2:12" x14ac:dyDescent="0.25">
      <c r="B3" s="49" t="s">
        <v>71</v>
      </c>
    </row>
    <row r="4" spans="2:12" x14ac:dyDescent="0.25">
      <c r="B4" s="49" t="s">
        <v>473</v>
      </c>
    </row>
    <row r="5" spans="2:12" s="48" customFormat="1" x14ac:dyDescent="0.25">
      <c r="B5" s="49" t="s">
        <v>203</v>
      </c>
    </row>
    <row r="6" spans="2:12" s="48" customFormat="1" x14ac:dyDescent="0.25">
      <c r="B6" s="49" t="s">
        <v>87</v>
      </c>
    </row>
    <row r="7" spans="2:12" s="48" customFormat="1" x14ac:dyDescent="0.25">
      <c r="B7" s="49" t="s">
        <v>86</v>
      </c>
    </row>
    <row r="8" spans="2:12" s="48" customFormat="1" x14ac:dyDescent="0.25">
      <c r="B8" s="49" t="s">
        <v>89</v>
      </c>
    </row>
    <row r="9" spans="2:12" s="48" customFormat="1" x14ac:dyDescent="0.25">
      <c r="B9" s="64" t="s">
        <v>516</v>
      </c>
    </row>
    <row r="10" spans="2:12" s="48" customFormat="1" x14ac:dyDescent="0.25">
      <c r="B10" s="64" t="s">
        <v>520</v>
      </c>
    </row>
    <row r="11" spans="2:12" s="48" customFormat="1" x14ac:dyDescent="0.25">
      <c r="B11" s="64" t="s">
        <v>515</v>
      </c>
    </row>
    <row r="12" spans="2:12" s="48" customFormat="1" x14ac:dyDescent="0.25">
      <c r="B12" s="49"/>
    </row>
    <row r="13" spans="2:12" s="48" customFormat="1" x14ac:dyDescent="0.25">
      <c r="B13" s="47" t="s">
        <v>73</v>
      </c>
    </row>
    <row r="14" spans="2:12" x14ac:dyDescent="0.25">
      <c r="B14" s="49" t="s">
        <v>92</v>
      </c>
      <c r="L14" s="49"/>
    </row>
    <row r="15" spans="2:12" x14ac:dyDescent="0.25">
      <c r="B15" s="49" t="s">
        <v>93</v>
      </c>
    </row>
    <row r="16" spans="2:12" x14ac:dyDescent="0.25">
      <c r="B16" s="49" t="s">
        <v>94</v>
      </c>
    </row>
    <row r="18" spans="2:2" x14ac:dyDescent="0.25">
      <c r="B18" s="47" t="s">
        <v>191</v>
      </c>
    </row>
    <row r="19" spans="2:2" x14ac:dyDescent="0.25">
      <c r="B19" s="64" t="s">
        <v>480</v>
      </c>
    </row>
    <row r="20" spans="2:2" x14ac:dyDescent="0.25">
      <c r="B20" s="49" t="s">
        <v>189</v>
      </c>
    </row>
    <row r="21" spans="2:2" x14ac:dyDescent="0.25">
      <c r="B21" s="49" t="s">
        <v>190</v>
      </c>
    </row>
    <row r="22" spans="2:2" x14ac:dyDescent="0.25">
      <c r="B22" s="49" t="s">
        <v>192</v>
      </c>
    </row>
    <row r="23" spans="2:2" x14ac:dyDescent="0.25">
      <c r="B23" s="49" t="s">
        <v>193</v>
      </c>
    </row>
    <row r="24" spans="2:2" x14ac:dyDescent="0.25">
      <c r="B24" s="49" t="s">
        <v>194</v>
      </c>
    </row>
    <row r="25" spans="2:2" x14ac:dyDescent="0.25">
      <c r="B25" s="49" t="s">
        <v>519</v>
      </c>
    </row>
    <row r="26" spans="2:2" x14ac:dyDescent="0.25">
      <c r="B26" s="64" t="s">
        <v>481</v>
      </c>
    </row>
    <row r="28" spans="2:2" x14ac:dyDescent="0.25">
      <c r="B28" s="47" t="s">
        <v>95</v>
      </c>
    </row>
    <row r="29" spans="2:2" x14ac:dyDescent="0.25">
      <c r="B29" s="48" t="s">
        <v>96</v>
      </c>
    </row>
    <row r="30" spans="2:2" x14ac:dyDescent="0.25">
      <c r="B30" s="48" t="s">
        <v>488</v>
      </c>
    </row>
    <row r="31" spans="2:2" x14ac:dyDescent="0.25">
      <c r="B31" s="48" t="s">
        <v>97</v>
      </c>
    </row>
    <row r="33" spans="2:8" x14ac:dyDescent="0.25">
      <c r="B33" s="47" t="s">
        <v>100</v>
      </c>
    </row>
    <row r="34" spans="2:8" x14ac:dyDescent="0.25">
      <c r="B34" s="9" t="s">
        <v>118</v>
      </c>
    </row>
    <row r="35" spans="2:8" x14ac:dyDescent="0.25">
      <c r="B35" s="9" t="s">
        <v>101</v>
      </c>
    </row>
    <row r="37" spans="2:8" x14ac:dyDescent="0.25">
      <c r="B37" s="47" t="s">
        <v>102</v>
      </c>
    </row>
    <row r="38" spans="2:8" x14ac:dyDescent="0.25">
      <c r="B38" s="9" t="s">
        <v>105</v>
      </c>
    </row>
    <row r="39" spans="2:8" x14ac:dyDescent="0.25">
      <c r="B39" s="9" t="s">
        <v>103</v>
      </c>
    </row>
    <row r="40" spans="2:8" x14ac:dyDescent="0.25">
      <c r="B40" s="9" t="s">
        <v>106</v>
      </c>
    </row>
    <row r="41" spans="2:8" x14ac:dyDescent="0.25">
      <c r="B41" s="9" t="s">
        <v>104</v>
      </c>
    </row>
    <row r="42" spans="2:8" x14ac:dyDescent="0.25">
      <c r="B42" s="9" t="s">
        <v>117</v>
      </c>
    </row>
    <row r="43" spans="2:8" x14ac:dyDescent="0.25">
      <c r="B43" s="9" t="s">
        <v>107</v>
      </c>
    </row>
    <row r="44" spans="2:8" x14ac:dyDescent="0.25">
      <c r="B44" s="9" t="s">
        <v>108</v>
      </c>
    </row>
    <row r="45" spans="2:8" x14ac:dyDescent="0.25">
      <c r="B45" s="9" t="s">
        <v>491</v>
      </c>
    </row>
    <row r="46" spans="2:8" x14ac:dyDescent="0.25">
      <c r="B46" s="9" t="s">
        <v>109</v>
      </c>
    </row>
    <row r="48" spans="2:8" x14ac:dyDescent="0.25">
      <c r="B48" s="47" t="s">
        <v>110</v>
      </c>
      <c r="D48" s="47" t="s">
        <v>475</v>
      </c>
      <c r="F48" s="47" t="s">
        <v>482</v>
      </c>
      <c r="H48" s="240" t="e">
        <f>CONCATENATE("Valid",LEFT(ProjectSummary!C6,FIND(" ",ProjectSummary!C6)-1),"devs")</f>
        <v>#VALUE!</v>
      </c>
    </row>
    <row r="49" spans="2:8" x14ac:dyDescent="0.25">
      <c r="B49" s="9" t="s">
        <v>116</v>
      </c>
      <c r="D49" s="9" t="s">
        <v>477</v>
      </c>
      <c r="F49" s="9" t="s">
        <v>478</v>
      </c>
    </row>
    <row r="50" spans="2:8" x14ac:dyDescent="0.25">
      <c r="B50" s="9" t="s">
        <v>113</v>
      </c>
      <c r="D50" s="9" t="s">
        <v>476</v>
      </c>
      <c r="F50" s="9" t="s">
        <v>483</v>
      </c>
    </row>
    <row r="51" spans="2:8" x14ac:dyDescent="0.25">
      <c r="B51" s="9" t="s">
        <v>112</v>
      </c>
      <c r="D51" s="9" t="s">
        <v>113</v>
      </c>
      <c r="F51" s="9" t="s">
        <v>490</v>
      </c>
    </row>
    <row r="52" spans="2:8" x14ac:dyDescent="0.25">
      <c r="B52" s="9" t="s">
        <v>490</v>
      </c>
      <c r="D52" s="9" t="s">
        <v>490</v>
      </c>
      <c r="F52" s="9"/>
    </row>
    <row r="53" spans="2:8" x14ac:dyDescent="0.25">
      <c r="B53" s="9" t="s">
        <v>111</v>
      </c>
      <c r="D53" s="9" t="s">
        <v>111</v>
      </c>
      <c r="F53" s="9"/>
    </row>
    <row r="54" spans="2:8" x14ac:dyDescent="0.25">
      <c r="B54" s="9" t="s">
        <v>114</v>
      </c>
      <c r="D54" s="9" t="s">
        <v>479</v>
      </c>
      <c r="F54" s="9"/>
    </row>
    <row r="55" spans="2:8" x14ac:dyDescent="0.25">
      <c r="F55" s="9"/>
    </row>
    <row r="56" spans="2:8" x14ac:dyDescent="0.25">
      <c r="B56" s="47" t="s">
        <v>59</v>
      </c>
    </row>
    <row r="57" spans="2:8" x14ac:dyDescent="0.25">
      <c r="B57" s="49" t="s">
        <v>490</v>
      </c>
    </row>
    <row r="58" spans="2:8" x14ac:dyDescent="0.25">
      <c r="B58" s="9" t="s">
        <v>115</v>
      </c>
    </row>
    <row r="60" spans="2:8" x14ac:dyDescent="0.25">
      <c r="B60" s="47" t="s">
        <v>200</v>
      </c>
    </row>
    <row r="61" spans="2:8" x14ac:dyDescent="0.25">
      <c r="B61" s="9" t="s">
        <v>197</v>
      </c>
    </row>
    <row r="62" spans="2:8" x14ac:dyDescent="0.25">
      <c r="B62" s="9" t="s">
        <v>198</v>
      </c>
    </row>
    <row r="63" spans="2:8" x14ac:dyDescent="0.25">
      <c r="B63" s="9" t="s">
        <v>199</v>
      </c>
    </row>
    <row r="64" spans="2:8" x14ac:dyDescent="0.25">
      <c r="B64" s="9" t="s">
        <v>98</v>
      </c>
      <c r="H64" s="9"/>
    </row>
  </sheetData>
  <sheetProtection algorithmName="SHA-512" hashValue="lHvqn83yIsWbRxwYIxRHZ8Cyg1L/8JGEqnhZlVxHpn3XFK0ort2vvUAc1jNLlRC9QazTvaDUWcc874HEn9LBrg==" saltValue="2mbu0USDSkq+yUim+l72MQ==" spinCount="100000" sheet="1" objects="1" scenarios="1" selectLockedCells="1" sort="0" autoFilter="0"/>
  <sortState ref="B57:B60">
    <sortCondition ref="B57"/>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20</vt:i4>
      </vt:variant>
    </vt:vector>
  </HeadingPairs>
  <TitlesOfParts>
    <vt:vector size="29" baseType="lpstr">
      <vt:lpstr>ProjectSummary</vt:lpstr>
      <vt:lpstr>TestingDetail-cim-courseadmin</vt:lpstr>
      <vt:lpstr>TestingDetail-cim-genedadmin</vt:lpstr>
      <vt:lpstr>TestingDetail-cim-programadmin</vt:lpstr>
      <vt:lpstr>TestingDetail-cim-miscadmin</vt:lpstr>
      <vt:lpstr>TestingDetail-cat-base</vt:lpstr>
      <vt:lpstr>TestingDetail-clss-base</vt:lpstr>
      <vt:lpstr>TimeTracking</vt:lpstr>
      <vt:lpstr>LookupValues</vt:lpstr>
      <vt:lpstr>CAT</vt:lpstr>
      <vt:lpstr>CIM</vt:lpstr>
      <vt:lpstr>ProjectSummary!Print_Area</vt:lpstr>
      <vt:lpstr>'TestingDetail-cat-base'!Print_Titles</vt:lpstr>
      <vt:lpstr>'TestingDetail-cim-courseadmin'!Print_Titles</vt:lpstr>
      <vt:lpstr>'TestingDetail-cim-genedadmin'!Print_Titles</vt:lpstr>
      <vt:lpstr>'TestingDetail-cim-miscadmin'!Print_Titles</vt:lpstr>
      <vt:lpstr>'TestingDetail-cim-programadmin'!Print_Titles</vt:lpstr>
      <vt:lpstr>'TestingDetail-clss-base'!Print_Titles</vt:lpstr>
      <vt:lpstr>ValidCATdevs</vt:lpstr>
      <vt:lpstr>ValidCIMdevs</vt:lpstr>
      <vt:lpstr>ValidCimFrontEndDevs</vt:lpstr>
      <vt:lpstr>ValidCLSSdevs</vt:lpstr>
      <vt:lpstr>ValidCSMs</vt:lpstr>
      <vt:lpstr>ValidEnvs</vt:lpstr>
      <vt:lpstr>ValidInstanceNames</vt:lpstr>
      <vt:lpstr>ValidPhases</vt:lpstr>
      <vt:lpstr>ValidProjectTypes</vt:lpstr>
      <vt:lpstr>ValidStatus</vt:lpstr>
      <vt:lpstr>ValidTesters</vt:lpstr>
    </vt:vector>
  </TitlesOfParts>
  <Company>Leepfrog Technologies,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 Malenfant</dc:creator>
  <cp:lastModifiedBy>Dave Scudiero</cp:lastModifiedBy>
  <cp:lastPrinted>2016-08-01T19:03:20Z</cp:lastPrinted>
  <dcterms:created xsi:type="dcterms:W3CDTF">2014-08-25T15:26:04Z</dcterms:created>
  <dcterms:modified xsi:type="dcterms:W3CDTF">2017-05-24T21:42:15Z</dcterms:modified>
</cp:coreProperties>
</file>